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houd\OneDrive\Desktop\projectss\HR Analytics Dashboard\Data\"/>
    </mc:Choice>
  </mc:AlternateContent>
  <xr:revisionPtr revIDLastSave="0" documentId="13_ncr:1_{73C6BA28-9704-4296-80C4-146C784D5DEB}" xr6:coauthVersionLast="47" xr6:coauthVersionMax="47" xr10:uidLastSave="{00000000-0000-0000-0000-000000000000}"/>
  <bookViews>
    <workbookView xWindow="3816" yWindow="1116" windowWidth="17280" windowHeight="8880" firstSheet="6" activeTab="9" xr2:uid="{00000000-000D-0000-FFFF-FFFF00000000}"/>
  </bookViews>
  <sheets>
    <sheet name="KPI" sheetId="7" r:id="rId1"/>
    <sheet name="Attrition by Job" sheetId="11" r:id="rId2"/>
    <sheet name="Dept wise Attrition" sheetId="12" r:id="rId3"/>
    <sheet name="Attrition by Age Group" sheetId="13" r:id="rId4"/>
    <sheet name="Attrition by Marital Status" sheetId="14" r:id="rId5"/>
    <sheet name="Data" sheetId="1" r:id="rId6"/>
    <sheet name="Rating" sheetId="8" r:id="rId7"/>
    <sheet name="Gender" sheetId="9" r:id="rId8"/>
    <sheet name="Education by Attrition" sheetId="10" r:id="rId9"/>
    <sheet name="Dashboard" sheetId="6" r:id="rId10"/>
  </sheets>
  <definedNames>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'Attrition by Marital Status'!$D$4:$D$6</definedName>
    <definedName name="_xlchart.v2.3" hidden="1">'Attrition by Marital Status'!$E$3</definedName>
    <definedName name="_xlchart.v2.4" hidden="1">'Attrition by Marital Status'!$E$4:$E$6</definedName>
    <definedName name="_xlchart.v2.7" hidden="1">'Attrition by Marital Status'!$D$4:$D$6</definedName>
    <definedName name="_xlchart.v2.8" hidden="1">'Attrition by Marital Status'!$E$3</definedName>
    <definedName name="_xlchart.v2.9" hidden="1">'Attrition by Marital Status'!$E$4:$E$6</definedName>
    <definedName name="Slicer_Department">#N/A</definedName>
    <definedName name="Slicer_Education_Field1">#N/A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D5" i="14" l="1"/>
  <c r="D6" i="14"/>
  <c r="D4" i="14"/>
  <c r="D5" i="11"/>
  <c r="D6" i="11"/>
  <c r="D7" i="11"/>
  <c r="D8" i="11"/>
  <c r="D9" i="11"/>
  <c r="D10" i="11"/>
  <c r="D11" i="11"/>
  <c r="D12" i="11"/>
  <c r="D4" i="11"/>
  <c r="E5" i="14"/>
  <c r="E6" i="14"/>
  <c r="E4" i="14"/>
  <c r="E6" i="11"/>
  <c r="E7" i="11"/>
  <c r="E8" i="11"/>
  <c r="E11" i="11"/>
  <c r="E12" i="11"/>
  <c r="E5" i="11"/>
  <c r="E9" i="11"/>
  <c r="E10" i="11"/>
  <c r="E4" i="11"/>
  <c r="B11" i="9"/>
  <c r="B10" i="9"/>
  <c r="B6" i="8"/>
  <c r="C8" i="7"/>
  <c r="B8" i="7"/>
  <c r="A8" i="7"/>
  <c r="C10" i="9" l="1"/>
  <c r="C11" i="9"/>
  <c r="B7" i="8"/>
  <c r="C7" i="8" s="1"/>
  <c r="C6" i="8"/>
  <c r="D8" i="7"/>
  <c r="E8" i="7"/>
</calcChain>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<sst xmlns="http://schemas.openxmlformats.org/spreadsheetml/2006/main" count="19216" uniqueCount="1569">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</sst>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scheme val="minor"/>
    </font>
    <font>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1" fillId="0" borderId="0" xfId="0" applyFont="1"/>
    <xf numFmtId="1" fontId="0" fillId="0" borderId="0" xfId="0" applyNumberFormat="1"/>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cellXfs>
  <cellStyles count="2">
    <cellStyle name="Normal" xfId="0" builtinId="0"/>
    <cellStyle name="Percent" xfId="1" builtinId="5"/>
  </cellStyles>
  <dxfs count="5">
    <dxf>
      <numFmt numFmtId="164" formatCode="0.0"/>
    </dxf>
    <dxf>
      <font>
        <b/>
        <i val="0"/>
        <sz val="11"/>
        <color rgb="FF021A56"/>
        <name val="Calibri"/>
        <family val="2"/>
        <scheme val="major"/>
      </font>
      <fill>
        <patternFill patternType="solid">
          <bgColor theme="9" tint="0.79998168889431442"/>
        </patternFill>
      </fill>
      <border diagonalUp="0" diagonalDown="0">
        <left/>
        <right/>
        <top/>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
      <tableStyleElement type="firstRowStripe" dxfId="3"/>
      <tableStyleElement type="secondRowStripe" dxfId="2"/>
    </tableStyle>
    <tableStyle name="Slicer Style 1" pivot="0" table="0" count="4" xr9:uid="{049A0B5E-584E-47F0-8724-5C0F0F79AAF7}">
      <tableStyleElement type="wholeTable" dxfId="1"/>
    </tableStyle>
  </tableStyles>
  <colors>
    <mruColors>
      <color rgb="FF021A56"/>
      <color rgb="FFFFCC00"/>
      <color rgb="FFFFCC99"/>
      <color rgb="FF660066"/>
      <color rgb="FFFFCCFF"/>
      <color rgb="FF800080"/>
      <color rgb="FFFF66FF"/>
      <color rgb="FF552579"/>
      <color rgb="FFCC0099"/>
      <color rgb="FFEB25EB"/>
    </mruColors>
  </colors>
  <extLst>
    <ext xmlns:x14="http://schemas.microsoft.com/office/spreadsheetml/2009/9/main" uri="{46F421CA-312F-682f-3DD2-61675219B42D}">
      <x14:dxfs count="3">
        <dxf>
          <fill>
            <gradientFill>
              <stop position="0">
                <color theme="5" tint="0.59999389629810485"/>
              </stop>
              <stop position="1">
                <color theme="5" tint="-0.25098422193060094"/>
              </stop>
            </gradientFill>
          </fill>
        </dxf>
        <dxf>
          <fill>
            <gradientFill>
              <stop position="0">
                <color theme="4" tint="0.80001220740379042"/>
              </stop>
              <stop position="1">
                <color theme="4" tint="-0.25098422193060094"/>
              </stop>
            </gradientFill>
          </fill>
        </dxf>
        <dxf>
          <fill>
            <gradientFill>
              <stop position="0">
                <color theme="5" tint="0.59999389629810485"/>
              </stop>
              <stop position="1">
                <color theme="5" tint="-0.25098422193060094"/>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9A-4549-85C0-445F3CDCFE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9A-4549-85C0-445F3CDCFE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9A-4549-85C0-445F3CDCFE56}"/>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E710-480B-8508-26BEBDED7DD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11D2-43E0-AA98-D9E932BF9C22}"/>
            </c:ext>
          </c:extLst>
        </c:ser>
        <c:dLbls>
          <c:showLegendKey val="0"/>
          <c:showVal val="0"/>
          <c:showCatName val="0"/>
          <c:showSerName val="0"/>
          <c:showPercent val="0"/>
          <c:showBubbleSize val="0"/>
        </c:dLbls>
        <c:gapWidth val="219"/>
        <c:overlap val="-27"/>
        <c:axId val="1372927647"/>
        <c:axId val="1372927167"/>
      </c:barChart>
      <c:catAx>
        <c:axId val="137292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927167"/>
        <c:crosses val="autoZero"/>
        <c:auto val="1"/>
        <c:lblAlgn val="ctr"/>
        <c:lblOffset val="100"/>
        <c:noMultiLvlLbl val="0"/>
      </c:catAx>
      <c:valAx>
        <c:axId val="1372927167"/>
        <c:scaling>
          <c:orientation val="minMax"/>
        </c:scaling>
        <c:delete val="1"/>
        <c:axPos val="l"/>
        <c:numFmt formatCode="General" sourceLinked="1"/>
        <c:majorTickMark val="none"/>
        <c:minorTickMark val="none"/>
        <c:tickLblPos val="nextTo"/>
        <c:crossAx val="137292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2A-4DF3-9EE6-427CFAF354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2A-4DF3-9EE6-427CFAF354BF}"/>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75CF-43DD-A2BA-01556E442BC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914260717410324E-2"/>
          <c:y val="0.13930555555555557"/>
          <c:w val="0.89971084864391948"/>
          <c:h val="0.72088764946048411"/>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B5AC-4FD7-8DD9-0A3E42947C92}"/>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B5AC-4FD7-8DD9-0A3E42947C92}"/>
            </c:ext>
          </c:extLst>
        </c:ser>
        <c:dLbls>
          <c:showLegendKey val="0"/>
          <c:showVal val="0"/>
          <c:showCatName val="0"/>
          <c:showSerName val="0"/>
          <c:showPercent val="0"/>
          <c:showBubbleSize val="0"/>
        </c:dLbls>
        <c:gapWidth val="0"/>
        <c:overlap val="100"/>
        <c:axId val="1010519391"/>
        <c:axId val="1010528031"/>
      </c:barChart>
      <c:catAx>
        <c:axId val="1010519391"/>
        <c:scaling>
          <c:orientation val="minMax"/>
        </c:scaling>
        <c:delete val="1"/>
        <c:axPos val="l"/>
        <c:majorTickMark val="out"/>
        <c:minorTickMark val="none"/>
        <c:tickLblPos val="nextTo"/>
        <c:crossAx val="1010528031"/>
        <c:crosses val="autoZero"/>
        <c:auto val="1"/>
        <c:lblAlgn val="ctr"/>
        <c:lblOffset val="100"/>
        <c:noMultiLvlLbl val="0"/>
      </c:catAx>
      <c:valAx>
        <c:axId val="1010528031"/>
        <c:scaling>
          <c:orientation val="minMax"/>
          <c:max val="4"/>
        </c:scaling>
        <c:delete val="1"/>
        <c:axPos val="b"/>
        <c:numFmt formatCode="0.0" sourceLinked="1"/>
        <c:majorTickMark val="out"/>
        <c:minorTickMark val="none"/>
        <c:tickLblPos val="nextTo"/>
        <c:crossAx val="101051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BA-4692-8E37-C1B65D6441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BA-4692-8E37-C1B65D64416D}"/>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9768-4718-814D-641ADFE7B3A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873-4086-BBBD-8FC1CB204227}"/>
            </c:ext>
          </c:extLst>
        </c:ser>
        <c:dLbls>
          <c:dLblPos val="outEnd"/>
          <c:showLegendKey val="0"/>
          <c:showVal val="1"/>
          <c:showCatName val="0"/>
          <c:showSerName val="0"/>
          <c:showPercent val="0"/>
          <c:showBubbleSize val="0"/>
        </c:dLbls>
        <c:gapWidth val="182"/>
        <c:axId val="1014848047"/>
        <c:axId val="1014849007"/>
      </c:barChart>
      <c:catAx>
        <c:axId val="10148480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849007"/>
        <c:crosses val="autoZero"/>
        <c:auto val="1"/>
        <c:lblAlgn val="ctr"/>
        <c:lblOffset val="100"/>
        <c:noMultiLvlLbl val="0"/>
      </c:catAx>
      <c:valAx>
        <c:axId val="1014849007"/>
        <c:scaling>
          <c:orientation val="minMax"/>
        </c:scaling>
        <c:delete val="1"/>
        <c:axPos val="b"/>
        <c:numFmt formatCode="General" sourceLinked="1"/>
        <c:majorTickMark val="out"/>
        <c:minorTickMark val="none"/>
        <c:tickLblPos val="nextTo"/>
        <c:crossAx val="101484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10805308214979"/>
          <c:y val="7.8431275675435327E-2"/>
          <c:w val="0.68224397183996865"/>
          <c:h val="0.85882370378421646"/>
        </c:manualLayout>
      </c:layout>
      <c:doughnutChart>
        <c:varyColors val="1"/>
        <c:ser>
          <c:idx val="0"/>
          <c:order val="0"/>
          <c:spPr>
            <a:ln>
              <a:noFill/>
            </a:ln>
          </c:spPr>
          <c:dPt>
            <c:idx val="0"/>
            <c:bubble3D val="0"/>
            <c:spPr>
              <a:gradFill>
                <a:gsLst>
                  <a:gs pos="0">
                    <a:srgbClr val="004C00"/>
                  </a:gs>
                  <a:gs pos="100000">
                    <a:schemeClr val="accent2">
                      <a:lumMod val="50000"/>
                    </a:schemeClr>
                  </a:gs>
                </a:gsLst>
                <a:lin ang="5400000" scaled="1"/>
              </a:gradFill>
              <a:ln w="19050">
                <a:noFill/>
              </a:ln>
              <a:effectLst/>
            </c:spPr>
            <c:extLst>
              <c:ext xmlns:c16="http://schemas.microsoft.com/office/drawing/2014/chart" uri="{C3380CC4-5D6E-409C-BE32-E72D297353CC}">
                <c16:uniqueId val="{00000001-0486-42D8-BFDC-17F10ABC9F2D}"/>
              </c:ext>
            </c:extLst>
          </c:dPt>
          <c:dPt>
            <c:idx val="1"/>
            <c:bubble3D val="0"/>
            <c:spPr>
              <a:noFill/>
              <a:ln w="19050">
                <a:noFill/>
              </a:ln>
              <a:effectLst/>
            </c:spPr>
            <c:extLst>
              <c:ext xmlns:c16="http://schemas.microsoft.com/office/drawing/2014/chart" uri="{C3380CC4-5D6E-409C-BE32-E72D297353CC}">
                <c16:uniqueId val="{00000003-0486-42D8-BFDC-17F10ABC9F2D}"/>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0486-42D8-BFDC-17F10ABC9F2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914260717410324E-2"/>
          <c:y val="0.13930555555555557"/>
          <c:w val="0.89971084864391948"/>
          <c:h val="0.72088764946048411"/>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0468-4C03-AE80-85E74968584F}"/>
            </c:ext>
          </c:extLst>
        </c:ser>
        <c:ser>
          <c:idx val="1"/>
          <c:order val="1"/>
          <c:spPr>
            <a:no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0468-4C03-AE80-85E74968584F}"/>
            </c:ext>
          </c:extLst>
        </c:ser>
        <c:dLbls>
          <c:showLegendKey val="0"/>
          <c:showVal val="0"/>
          <c:showCatName val="0"/>
          <c:showSerName val="0"/>
          <c:showPercent val="0"/>
          <c:showBubbleSize val="0"/>
        </c:dLbls>
        <c:gapWidth val="0"/>
        <c:overlap val="100"/>
        <c:axId val="1010519391"/>
        <c:axId val="1010528031"/>
      </c:barChart>
      <c:catAx>
        <c:axId val="1010519391"/>
        <c:scaling>
          <c:orientation val="minMax"/>
        </c:scaling>
        <c:delete val="1"/>
        <c:axPos val="l"/>
        <c:majorTickMark val="out"/>
        <c:minorTickMark val="none"/>
        <c:tickLblPos val="nextTo"/>
        <c:crossAx val="1010528031"/>
        <c:crosses val="autoZero"/>
        <c:auto val="1"/>
        <c:lblAlgn val="ctr"/>
        <c:lblOffset val="100"/>
        <c:noMultiLvlLbl val="0"/>
      </c:catAx>
      <c:valAx>
        <c:axId val="1010528031"/>
        <c:scaling>
          <c:orientation val="minMax"/>
          <c:max val="4"/>
        </c:scaling>
        <c:delete val="1"/>
        <c:axPos val="b"/>
        <c:numFmt formatCode="0.0" sourceLinked="1"/>
        <c:majorTickMark val="out"/>
        <c:minorTickMark val="none"/>
        <c:tickLblPos val="nextTo"/>
        <c:crossAx val="101051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FF66FF">
                      <a:alpha val="36000"/>
                    </a:srgbClr>
                  </a:gs>
                  <a:gs pos="63000">
                    <a:srgbClr val="800080"/>
                  </a:gs>
                </a:gsLst>
                <a:lin ang="10800000" scaled="0"/>
              </a:gradFill>
              <a:ln w="19050">
                <a:noFill/>
              </a:ln>
              <a:effectLst/>
            </c:spPr>
            <c:extLst>
              <c:ext xmlns:c16="http://schemas.microsoft.com/office/drawing/2014/chart" uri="{C3380CC4-5D6E-409C-BE32-E72D297353CC}">
                <c16:uniqueId val="{00000001-91F0-4A4A-B659-6C3E64910C4B}"/>
              </c:ext>
            </c:extLst>
          </c:dPt>
          <c:dPt>
            <c:idx val="1"/>
            <c:bubble3D val="0"/>
            <c:spPr>
              <a:solidFill>
                <a:srgbClr val="EAF8D8"/>
              </a:solidFill>
              <a:ln w="19050">
                <a:noFill/>
              </a:ln>
              <a:effectLst/>
            </c:spPr>
            <c:extLst>
              <c:ext xmlns:c16="http://schemas.microsoft.com/office/drawing/2014/chart" uri="{C3380CC4-5D6E-409C-BE32-E72D297353CC}">
                <c16:uniqueId val="{00000003-91F0-4A4A-B659-6C3E64910C4B}"/>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91F0-4A4A-B659-6C3E64910C4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EAF8D8"/>
              </a:solidFill>
              <a:ln w="19050">
                <a:noFill/>
              </a:ln>
              <a:effectLst/>
            </c:spPr>
            <c:extLst>
              <c:ext xmlns:c16="http://schemas.microsoft.com/office/drawing/2014/chart" uri="{C3380CC4-5D6E-409C-BE32-E72D297353CC}">
                <c16:uniqueId val="{00000001-6D91-465C-B967-0D08622ED937}"/>
              </c:ext>
            </c:extLst>
          </c:dPt>
          <c:dPt>
            <c:idx val="1"/>
            <c:bubble3D val="0"/>
            <c:spPr>
              <a:gradFill>
                <a:gsLst>
                  <a:gs pos="28000">
                    <a:schemeClr val="accent1">
                      <a:lumMod val="40000"/>
                      <a:lumOff val="60000"/>
                    </a:schemeClr>
                  </a:gs>
                  <a:gs pos="82000">
                    <a:schemeClr val="accent1">
                      <a:lumMod val="75000"/>
                    </a:schemeClr>
                  </a:gs>
                </a:gsLst>
                <a:lin ang="10800000" scaled="0"/>
              </a:gradFill>
              <a:ln w="19050">
                <a:noFill/>
              </a:ln>
              <a:effectLst/>
            </c:spPr>
            <c:extLst>
              <c:ext xmlns:c16="http://schemas.microsoft.com/office/drawing/2014/chart" uri="{C3380CC4-5D6E-409C-BE32-E72D297353CC}">
                <c16:uniqueId val="{00000003-6D91-465C-B967-0D08622ED937}"/>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6D91-465C-B967-0D08622ED93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40000"/>
                  <a:lumOff val="60000"/>
                </a:schemeClr>
              </a:gs>
              <a:gs pos="72000">
                <a:schemeClr val="accent1">
                  <a:lumMod val="50000"/>
                </a:schemeClr>
              </a:gs>
            </a:gsLst>
            <a:lin ang="10800000" scaled="0"/>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021A56"/>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1">
                    <a:lumMod val="40000"/>
                    <a:lumOff val="60000"/>
                  </a:schemeClr>
                </a:gs>
                <a:gs pos="72000">
                  <a:schemeClr val="accent1">
                    <a:lumMod val="50000"/>
                  </a:schemeClr>
                </a:gs>
              </a:gsLst>
              <a:lin ang="10800000" scaled="0"/>
            </a:gra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rgbClr val="021A56"/>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2D9-4B09-B40B-2EF94AF9BB78}"/>
            </c:ext>
          </c:extLst>
        </c:ser>
        <c:dLbls>
          <c:dLblPos val="outEnd"/>
          <c:showLegendKey val="0"/>
          <c:showVal val="1"/>
          <c:showCatName val="0"/>
          <c:showSerName val="0"/>
          <c:showPercent val="0"/>
          <c:showBubbleSize val="0"/>
        </c:dLbls>
        <c:gapWidth val="75"/>
        <c:axId val="1014848047"/>
        <c:axId val="1014849007"/>
      </c:barChart>
      <c:catAx>
        <c:axId val="10148480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021A56"/>
                </a:solidFill>
                <a:latin typeface="Calisto MT" panose="02040603050505030304" pitchFamily="18" charset="0"/>
                <a:ea typeface="+mn-ea"/>
                <a:cs typeface="+mn-cs"/>
              </a:defRPr>
            </a:pPr>
            <a:endParaRPr lang="en-US"/>
          </a:p>
        </c:txPr>
        <c:crossAx val="1014849007"/>
        <c:crosses val="autoZero"/>
        <c:auto val="1"/>
        <c:lblAlgn val="ctr"/>
        <c:lblOffset val="100"/>
        <c:noMultiLvlLbl val="0"/>
      </c:catAx>
      <c:valAx>
        <c:axId val="1014849007"/>
        <c:scaling>
          <c:orientation val="minMax"/>
        </c:scaling>
        <c:delete val="1"/>
        <c:axPos val="b"/>
        <c:numFmt formatCode="General" sourceLinked="1"/>
        <c:majorTickMark val="out"/>
        <c:minorTickMark val="none"/>
        <c:tickLblPos val="nextTo"/>
        <c:crossAx val="101484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chemeClr val="accent1">
                  <a:lumMod val="40000"/>
                  <a:lumOff val="60000"/>
                </a:schemeClr>
              </a:gs>
              <a:gs pos="72000">
                <a:schemeClr val="accent1">
                  <a:lumMod val="50000"/>
                </a:schemeClr>
              </a:gs>
            </a:gsLst>
            <a:lin ang="10800000" scaled="0"/>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21A56"/>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6">
                  <a:lumMod val="60000"/>
                  <a:lumOff val="40000"/>
                </a:schemeClr>
              </a:gs>
              <a:gs pos="72000">
                <a:schemeClr val="accent6">
                  <a:lumMod val="50000"/>
                </a:schemeClr>
              </a:gs>
            </a:gsLst>
            <a:lin ang="10800000" scaled="0"/>
          </a:gradFill>
          <a:ln w="19050">
            <a:noFill/>
          </a:ln>
          <a:effectLst/>
        </c:spPr>
      </c:pivotFmt>
      <c:pivotFmt>
        <c:idx val="7"/>
        <c:spPr>
          <a:gradFill>
            <a:gsLst>
              <a:gs pos="0">
                <a:schemeClr val="accent1">
                  <a:lumMod val="40000"/>
                  <a:lumOff val="60000"/>
                </a:schemeClr>
              </a:gs>
              <a:gs pos="72000">
                <a:schemeClr val="accent1">
                  <a:lumMod val="50000"/>
                </a:schemeClr>
              </a:gs>
            </a:gsLst>
            <a:lin ang="10800000" scaled="0"/>
          </a:gradFill>
          <a:ln w="19050">
            <a:noFill/>
          </a:ln>
          <a:effectLst/>
        </c:spPr>
      </c:pivotFmt>
      <c:pivotFmt>
        <c:idx val="8"/>
        <c:spPr>
          <a:gradFill>
            <a:gsLst>
              <a:gs pos="69000">
                <a:schemeClr val="accent2">
                  <a:lumMod val="75000"/>
                </a:schemeClr>
              </a:gs>
              <a:gs pos="0">
                <a:schemeClr val="accent2">
                  <a:lumMod val="60000"/>
                  <a:lumOff val="40000"/>
                </a:schemeClr>
              </a:gs>
            </a:gsLst>
            <a:lin ang="10800000" scaled="0"/>
          </a:gradFill>
          <a:ln w="19050">
            <a:noFill/>
          </a:ln>
          <a:effectLst/>
        </c:spPr>
      </c:pivotFmt>
    </c:pivotFmts>
    <c:plotArea>
      <c:layout>
        <c:manualLayout>
          <c:layoutTarget val="inner"/>
          <c:xMode val="edge"/>
          <c:yMode val="edge"/>
          <c:x val="0.21768605938475699"/>
          <c:y val="9.3652172761217276E-2"/>
          <c:w val="0.48600216442139049"/>
          <c:h val="0.86253986678447447"/>
        </c:manualLayout>
      </c:layout>
      <c:pieChart>
        <c:varyColors val="1"/>
        <c:ser>
          <c:idx val="0"/>
          <c:order val="0"/>
          <c:tx>
            <c:strRef>
              <c:f>'Dept wise Attrition'!$B$3</c:f>
              <c:strCache>
                <c:ptCount val="1"/>
                <c:pt idx="0">
                  <c:v>Total</c:v>
                </c:pt>
              </c:strCache>
            </c:strRef>
          </c:tx>
          <c:spPr>
            <a:gradFill>
              <a:gsLst>
                <a:gs pos="0">
                  <a:schemeClr val="accent1">
                    <a:lumMod val="40000"/>
                    <a:lumOff val="60000"/>
                  </a:schemeClr>
                </a:gs>
                <a:gs pos="72000">
                  <a:schemeClr val="accent1">
                    <a:lumMod val="50000"/>
                  </a:schemeClr>
                </a:gs>
              </a:gsLst>
              <a:lin ang="10800000" scaled="0"/>
            </a:gradFill>
            <a:ln>
              <a:noFill/>
            </a:ln>
          </c:spPr>
          <c:dPt>
            <c:idx val="0"/>
            <c:bubble3D val="0"/>
            <c:spPr>
              <a:gradFill>
                <a:gsLst>
                  <a:gs pos="0">
                    <a:schemeClr val="accent6">
                      <a:lumMod val="60000"/>
                      <a:lumOff val="40000"/>
                    </a:schemeClr>
                  </a:gs>
                  <a:gs pos="72000">
                    <a:schemeClr val="accent6">
                      <a:lumMod val="50000"/>
                    </a:schemeClr>
                  </a:gs>
                </a:gsLst>
                <a:lin ang="10800000" scaled="0"/>
              </a:gradFill>
              <a:ln w="19050">
                <a:noFill/>
              </a:ln>
              <a:effectLst/>
            </c:spPr>
            <c:extLst>
              <c:ext xmlns:c16="http://schemas.microsoft.com/office/drawing/2014/chart" uri="{C3380CC4-5D6E-409C-BE32-E72D297353CC}">
                <c16:uniqueId val="{00000001-F6D7-4D27-9F2E-A8EECE8B3D57}"/>
              </c:ext>
            </c:extLst>
          </c:dPt>
          <c:dPt>
            <c:idx val="1"/>
            <c:bubble3D val="0"/>
            <c:spPr>
              <a:gradFill>
                <a:gsLst>
                  <a:gs pos="0">
                    <a:schemeClr val="accent1">
                      <a:lumMod val="40000"/>
                      <a:lumOff val="60000"/>
                    </a:schemeClr>
                  </a:gs>
                  <a:gs pos="72000">
                    <a:schemeClr val="accent1">
                      <a:lumMod val="50000"/>
                    </a:schemeClr>
                  </a:gs>
                </a:gsLst>
                <a:lin ang="10800000" scaled="0"/>
              </a:gradFill>
              <a:ln w="19050">
                <a:noFill/>
              </a:ln>
              <a:effectLst/>
            </c:spPr>
            <c:extLst>
              <c:ext xmlns:c16="http://schemas.microsoft.com/office/drawing/2014/chart" uri="{C3380CC4-5D6E-409C-BE32-E72D297353CC}">
                <c16:uniqueId val="{00000003-F6D7-4D27-9F2E-A8EECE8B3D57}"/>
              </c:ext>
            </c:extLst>
          </c:dPt>
          <c:dPt>
            <c:idx val="2"/>
            <c:bubble3D val="0"/>
            <c:spPr>
              <a:gradFill>
                <a:gsLst>
                  <a:gs pos="69000">
                    <a:schemeClr val="accent2">
                      <a:lumMod val="75000"/>
                    </a:schemeClr>
                  </a:gs>
                  <a:gs pos="0">
                    <a:schemeClr val="accent2">
                      <a:lumMod val="60000"/>
                      <a:lumOff val="40000"/>
                    </a:schemeClr>
                  </a:gs>
                </a:gsLst>
                <a:lin ang="10800000" scaled="0"/>
              </a:gradFill>
              <a:ln w="19050">
                <a:noFill/>
              </a:ln>
              <a:effectLst/>
            </c:spPr>
            <c:extLst>
              <c:ext xmlns:c16="http://schemas.microsoft.com/office/drawing/2014/chart" uri="{C3380CC4-5D6E-409C-BE32-E72D297353CC}">
                <c16:uniqueId val="{00000005-F6D7-4D27-9F2E-A8EECE8B3D5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21A56"/>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F6D7-4D27-9F2E-A8EECE8B3D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rgbClr val="021A56"/>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CFF"/>
              </a:gs>
              <a:gs pos="72000">
                <a:srgbClr val="660066"/>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21A56"/>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rgbClr val="FFCCFF"/>
                </a:gs>
                <a:gs pos="72000">
                  <a:srgbClr val="660066"/>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21A56"/>
                    </a:solidFill>
                    <a:latin typeface="Calisto MT" panose="02040603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658-480A-8A73-0F4B465DDA03}"/>
            </c:ext>
          </c:extLst>
        </c:ser>
        <c:dLbls>
          <c:showLegendKey val="0"/>
          <c:showVal val="0"/>
          <c:showCatName val="0"/>
          <c:showSerName val="0"/>
          <c:showPercent val="0"/>
          <c:showBubbleSize val="0"/>
        </c:dLbls>
        <c:gapWidth val="110"/>
        <c:overlap val="-27"/>
        <c:axId val="1372927647"/>
        <c:axId val="1372927167"/>
      </c:barChart>
      <c:catAx>
        <c:axId val="137292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21A56"/>
                </a:solidFill>
                <a:latin typeface="Calisto MT" panose="02040603050505030304" pitchFamily="18" charset="0"/>
                <a:ea typeface="+mn-ea"/>
                <a:cs typeface="+mn-cs"/>
              </a:defRPr>
            </a:pPr>
            <a:endParaRPr lang="en-US"/>
          </a:p>
        </c:txPr>
        <c:crossAx val="1372927167"/>
        <c:crosses val="autoZero"/>
        <c:auto val="1"/>
        <c:lblAlgn val="ctr"/>
        <c:lblOffset val="100"/>
        <c:noMultiLvlLbl val="0"/>
      </c:catAx>
      <c:valAx>
        <c:axId val="1372927167"/>
        <c:scaling>
          <c:orientation val="minMax"/>
        </c:scaling>
        <c:delete val="1"/>
        <c:axPos val="l"/>
        <c:numFmt formatCode="General" sourceLinked="1"/>
        <c:majorTickMark val="none"/>
        <c:minorTickMark val="none"/>
        <c:tickLblPos val="nextTo"/>
        <c:crossAx val="137292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28771FA7-43A8-44FC-A730-5561E590F85F}">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A1111803-2B03-4111-9B23-37DC05BFCC22}">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28771FA7-43A8-44FC-A730-5561E590F85F}">
          <cx:spPr>
            <a:ln>
              <a:noFill/>
            </a:ln>
          </cx:spPr>
          <cx:dataPt idx="2">
            <cx:spPr>
              <a:solidFill>
                <a:srgbClr val="000000">
                  <a:lumMod val="85000"/>
                  <a:lumOff val="15000"/>
                </a:srgbClr>
              </a:solidFill>
            </cx:spPr>
          </cx:dataPt>
          <cx:dataLabels pos="inEnd">
            <cx:txPr>
              <a:bodyPr spcFirstLastPara="1" vertOverflow="ellipsis" horzOverflow="overflow" wrap="square" lIns="0" tIns="0" rIns="0" bIns="0" anchor="ctr" anchorCtr="1"/>
              <a:lstStyle/>
              <a:p>
                <a:pPr algn="ctr" rtl="0">
                  <a:defRPr sz="800" b="0">
                    <a:latin typeface="Calisto MT" panose="02040603050505030304" pitchFamily="18" charset="0"/>
                    <a:ea typeface="Calisto MT" panose="02040603050505030304" pitchFamily="18" charset="0"/>
                    <a:cs typeface="Calisto MT" panose="02040603050505030304" pitchFamily="18" charset="0"/>
                  </a:defRPr>
                </a:pPr>
                <a:endParaRPr lang="en-US" sz="800" b="0" i="0" u="none" strike="noStrike" baseline="0">
                  <a:solidFill>
                    <a:srgbClr val="FFFFFF"/>
                  </a:solidFill>
                  <a:latin typeface="Calisto MT" panose="02040603050505030304" pitchFamily="18" charset="0"/>
                  <a:ea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A1111803-2B03-4111-9B23-37DC05BFCC22}">
          <cx:tx>
            <cx:txData>
              <cx:f>_xlchart.v2.8</cx:f>
              <cx:v>Attrition</cx:v>
            </cx:txData>
          </cx:tx>
          <cx:spPr>
            <a:gradFill>
              <a:gsLst>
                <a:gs pos="0">
                  <a:schemeClr val="accent4">
                    <a:lumMod val="40000"/>
                    <a:lumOff val="60000"/>
                  </a:schemeClr>
                </a:gs>
                <a:gs pos="81000">
                  <a:schemeClr val="accent4">
                    <a:lumMod val="50000"/>
                  </a:schemeClr>
                </a:gs>
              </a:gsLst>
              <a:lin ang="5400000" scaled="0"/>
            </a:gradFill>
          </cx:spPr>
          <cx:dataLabels>
            <cx:txPr>
              <a:bodyPr vertOverflow="overflow" horzOverflow="overflow" wrap="square" lIns="0" tIns="0" rIns="0" bIns="0"/>
              <a:lstStyle/>
              <a:p>
                <a:pPr algn="ctr" rtl="0">
                  <a:defRPr lang="en-US" sz="1000" b="1" i="0" u="none" strike="noStrike" kern="1200" baseline="0">
                    <a:solidFill>
                      <a:srgbClr val="021A56"/>
                    </a:solidFill>
                    <a:latin typeface="Calisto MT" panose="02040603050505030304" pitchFamily="18" charset="0"/>
                    <a:ea typeface="+mn-ea"/>
                    <a:cs typeface="+mn-cs"/>
                  </a:defRPr>
                </a:pPr>
                <a:endParaRPr lang="en-US" sz="1000" b="1" i="0" u="none" strike="noStrike" kern="1200" baseline="0">
                  <a:solidFill>
                    <a:srgbClr val="021A56"/>
                  </a:solidFill>
                  <a:latin typeface="Calisto MT" panose="02040603050505030304" pitchFamily="18" charset="0"/>
                  <a:ea typeface="+mn-ea"/>
                  <a:cs typeface="+mn-cs"/>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1000" b="1" i="0" u="none" strike="noStrike" kern="1200" baseline="0">
                <a:solidFill>
                  <a:srgbClr val="021A56"/>
                </a:solidFill>
                <a:latin typeface="Calisto MT" panose="02040603050505030304" pitchFamily="18" charset="0"/>
                <a:ea typeface="+mn-ea"/>
                <a:cs typeface="+mn-cs"/>
              </a:defRPr>
            </a:pPr>
            <a:endParaRPr lang="en-US" sz="1000" b="1" i="0" u="none" strike="noStrike" kern="1200" baseline="0">
              <a:solidFill>
                <a:srgbClr val="021A56"/>
              </a:solidFill>
              <a:latin typeface="Calisto MT" panose="02040603050505030304" pitchFamily="18" charset="0"/>
              <a:ea typeface="+mn-ea"/>
              <a:cs typeface="+mn-cs"/>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18" Type="http://schemas.openxmlformats.org/officeDocument/2006/relationships/chart" Target="../charts/chart11.xml"/><Relationship Id="rId3" Type="http://schemas.openxmlformats.org/officeDocument/2006/relationships/image" Target="../media/image3.png"/><Relationship Id="rId21" Type="http://schemas.openxmlformats.org/officeDocument/2006/relationships/chart" Target="../charts/chart13.xml"/><Relationship Id="rId7" Type="http://schemas.openxmlformats.org/officeDocument/2006/relationships/image" Target="../media/image7.svg"/><Relationship Id="rId12" Type="http://schemas.openxmlformats.org/officeDocument/2006/relationships/chart" Target="../charts/chart9.xml"/><Relationship Id="rId17" Type="http://schemas.openxmlformats.org/officeDocument/2006/relationships/image" Target="../media/image13.svg"/><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svg"/><Relationship Id="rId15" Type="http://schemas.openxmlformats.org/officeDocument/2006/relationships/image" Target="../media/image11.svg"/><Relationship Id="rId10" Type="http://schemas.openxmlformats.org/officeDocument/2006/relationships/chart" Target="../charts/chart7.xml"/><Relationship Id="rId19" Type="http://schemas.microsoft.com/office/2014/relationships/chartEx" Target="../charts/chartEx3.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0.png"/><Relationship Id="rId22"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6</xdr:col>
      <xdr:colOff>68580</xdr:colOff>
      <xdr:row>3</xdr:row>
      <xdr:rowOff>121921</xdr:rowOff>
    </xdr:from>
    <xdr:to>
      <xdr:col>8</xdr:col>
      <xdr:colOff>556260</xdr:colOff>
      <xdr:row>9</xdr:row>
      <xdr:rowOff>7621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8280EBE-FEEC-AAB8-57BF-8BF5C468FE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05700" y="716281"/>
              <a:ext cx="182880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125730</xdr:colOff>
      <xdr:row>3</xdr:row>
      <xdr:rowOff>102870</xdr:rowOff>
    </xdr:from>
    <xdr:to>
      <xdr:col>13</xdr:col>
      <xdr:colOff>3810</xdr:colOff>
      <xdr:row>17</xdr:row>
      <xdr:rowOff>72390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2AAC9B7-2B0B-AD57-075C-13C9AE7E22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425690" y="6972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144780</xdr:colOff>
      <xdr:row>5</xdr:row>
      <xdr:rowOff>144780</xdr:rowOff>
    </xdr:from>
    <xdr:to>
      <xdr:col>8</xdr:col>
      <xdr:colOff>228600</xdr:colOff>
      <xdr:row>19</xdr:row>
      <xdr:rowOff>114300</xdr:rowOff>
    </xdr:to>
    <xdr:graphicFrame macro="">
      <xdr:nvGraphicFramePr>
        <xdr:cNvPr id="2" name="Chart 1">
          <a:extLst>
            <a:ext uri="{FF2B5EF4-FFF2-40B4-BE49-F238E27FC236}">
              <a16:creationId xmlns:a16="http://schemas.microsoft.com/office/drawing/2014/main" id="{00101D04-12F2-E979-DE6F-5487F4872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255270</xdr:colOff>
      <xdr:row>7</xdr:row>
      <xdr:rowOff>68580</xdr:rowOff>
    </xdr:from>
    <xdr:to>
      <xdr:col>8</xdr:col>
      <xdr:colOff>365760</xdr:colOff>
      <xdr:row>19</xdr:row>
      <xdr:rowOff>114300</xdr:rowOff>
    </xdr:to>
    <xdr:graphicFrame macro="">
      <xdr:nvGraphicFramePr>
        <xdr:cNvPr id="3" name="Chart 2">
          <a:extLst>
            <a:ext uri="{FF2B5EF4-FFF2-40B4-BE49-F238E27FC236}">
              <a16:creationId xmlns:a16="http://schemas.microsoft.com/office/drawing/2014/main" id="{7D7899A8-64CE-44E7-6A1E-C448AA662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323850</xdr:colOff>
      <xdr:row>5</xdr:row>
      <xdr:rowOff>140970</xdr:rowOff>
    </xdr:from>
    <xdr:to>
      <xdr:col>11</xdr:col>
      <xdr:colOff>175260</xdr:colOff>
      <xdr:row>16</xdr:row>
      <xdr:rowOff>53340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C8AF6BB-A9E7-6489-84C4-52FB2BB0EC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131570"/>
              <a:ext cx="3874770" cy="20916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228600</xdr:colOff>
      <xdr:row>2</xdr:row>
      <xdr:rowOff>152400</xdr:rowOff>
    </xdr:from>
    <xdr:to>
      <xdr:col>5</xdr:col>
      <xdr:colOff>358140</xdr:colOff>
      <xdr:row>8</xdr:row>
      <xdr:rowOff>167640</xdr:rowOff>
    </xdr:to>
    <xdr:graphicFrame macro="">
      <xdr:nvGraphicFramePr>
        <xdr:cNvPr id="3" name="Chart 2">
          <a:extLst>
            <a:ext uri="{FF2B5EF4-FFF2-40B4-BE49-F238E27FC236}">
              <a16:creationId xmlns:a16="http://schemas.microsoft.com/office/drawing/2014/main" id="{A9A16D0A-95DB-ED78-7F23-601210F57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647700</xdr:colOff>
      <xdr:row>3</xdr:row>
      <xdr:rowOff>152401</xdr:rowOff>
    </xdr:from>
    <xdr:to>
      <xdr:col>9</xdr:col>
      <xdr:colOff>464820</xdr:colOff>
      <xdr:row>9</xdr:row>
      <xdr:rowOff>38101</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9C8393AA-C0CC-1271-36E5-4C9E947692F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806440" y="746761"/>
              <a:ext cx="182880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948690</xdr:colOff>
      <xdr:row>12</xdr:row>
      <xdr:rowOff>167640</xdr:rowOff>
    </xdr:from>
    <xdr:to>
      <xdr:col>3</xdr:col>
      <xdr:colOff>403860</xdr:colOff>
      <xdr:row>15</xdr:row>
      <xdr:rowOff>129540</xdr:rowOff>
    </xdr:to>
    <xdr:graphicFrame macro="">
      <xdr:nvGraphicFramePr>
        <xdr:cNvPr id="5" name="Chart 4">
          <a:extLst>
            <a:ext uri="{FF2B5EF4-FFF2-40B4-BE49-F238E27FC236}">
              <a16:creationId xmlns:a16="http://schemas.microsoft.com/office/drawing/2014/main" id="{D7969DA4-AB6D-E973-E0A8-E612EE9F3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510540</xdr:colOff>
      <xdr:row>10</xdr:row>
      <xdr:rowOff>68581</xdr:rowOff>
    </xdr:from>
    <xdr:to>
      <xdr:col>8</xdr:col>
      <xdr:colOff>327660</xdr:colOff>
      <xdr:row>21</xdr:row>
      <xdr:rowOff>99061</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064FF0CA-E1FC-B3A8-63D5-2C7A67B40D0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4998720" y="2049781"/>
              <a:ext cx="18288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373380</xdr:colOff>
      <xdr:row>5</xdr:row>
      <xdr:rowOff>53341</xdr:rowOff>
    </xdr:from>
    <xdr:to>
      <xdr:col>7</xdr:col>
      <xdr:colOff>190500</xdr:colOff>
      <xdr:row>16</xdr:row>
      <xdr:rowOff>137161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C1BA896A-5B18-783F-08C6-775E756AFDAA}"/>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389120" y="1043941"/>
              <a:ext cx="1828800" cy="2263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327660</xdr:colOff>
      <xdr:row>4</xdr:row>
      <xdr:rowOff>144781</xdr:rowOff>
    </xdr:from>
    <xdr:to>
      <xdr:col>10</xdr:col>
      <xdr:colOff>144780</xdr:colOff>
      <xdr:row>10</xdr:row>
      <xdr:rowOff>7621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2764ACD9-1DCF-B38E-D38E-2E7C5E2FAA7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355080" y="937261"/>
              <a:ext cx="182880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868680</xdr:colOff>
      <xdr:row>12</xdr:row>
      <xdr:rowOff>41910</xdr:rowOff>
    </xdr:from>
    <xdr:to>
      <xdr:col>1</xdr:col>
      <xdr:colOff>1417320</xdr:colOff>
      <xdr:row>19</xdr:row>
      <xdr:rowOff>190500</xdr:rowOff>
    </xdr:to>
    <xdr:graphicFrame macro="">
      <xdr:nvGraphicFramePr>
        <xdr:cNvPr id="4" name="Chart 3">
          <a:extLst>
            <a:ext uri="{FF2B5EF4-FFF2-40B4-BE49-F238E27FC236}">
              <a16:creationId xmlns:a16="http://schemas.microsoft.com/office/drawing/2014/main" id="{CDD268E4-CF77-58C5-4A2A-0BAD5E2D4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548640</xdr:colOff>
      <xdr:row>9</xdr:row>
      <xdr:rowOff>1</xdr:rowOff>
    </xdr:from>
    <xdr:to>
      <xdr:col>10</xdr:col>
      <xdr:colOff>365760</xdr:colOff>
      <xdr:row>18</xdr:row>
      <xdr:rowOff>1</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5A790E3-73A0-CAF2-48AA-B2E626EC115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576060" y="1783081"/>
              <a:ext cx="182880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163830</xdr:colOff>
      <xdr:row>5</xdr:row>
      <xdr:rowOff>144780</xdr:rowOff>
    </xdr:from>
    <xdr:to>
      <xdr:col>8</xdr:col>
      <xdr:colOff>22860</xdr:colOff>
      <xdr:row>15</xdr:row>
      <xdr:rowOff>38100</xdr:rowOff>
    </xdr:to>
    <xdr:graphicFrame macro="">
      <xdr:nvGraphicFramePr>
        <xdr:cNvPr id="2" name="Chart 1">
          <a:extLst>
            <a:ext uri="{FF2B5EF4-FFF2-40B4-BE49-F238E27FC236}">
              <a16:creationId xmlns:a16="http://schemas.microsoft.com/office/drawing/2014/main" id="{3D662170-A93D-F861-9A7E-87B036CC5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361950</xdr:colOff>
      <xdr:row>2</xdr:row>
      <xdr:rowOff>180975</xdr:rowOff>
    </xdr:from>
    <xdr:to>
      <xdr:col>24</xdr:col>
      <xdr:colOff>142875</xdr:colOff>
      <xdr:row>41</xdr:row>
      <xdr:rowOff>133350</xdr:rowOff>
    </xdr:to>
    <xdr:grpSp>
      <xdr:nvGrpSpPr>
        <xdr:cNvPr id="70" name="Group 69">
          <a:extLst>
            <a:ext uri="{FF2B5EF4-FFF2-40B4-BE49-F238E27FC236}">
              <a16:creationId xmlns:a16="http://schemas.microsoft.com/office/drawing/2014/main" id="{79A5C666-5763-9DD4-1B1F-628BF2A10F60}"/>
            </a:ext>
          </a:extLst>
        </xdr:cNvPr>
        <xdr:cNvGrpSpPr/>
      </xdr:nvGrpSpPr>
      <xdr:grpSpPr>
        <a:xfrm>
          <a:off x="1019175" y="561975"/>
          <a:ext cx="14897100" cy="7381875"/>
          <a:chOff x="1019175" y="514350"/>
          <a:chExt cx="14897100" cy="7381875"/>
        </a:xfrm>
      </xdr:grpSpPr>
      <xdr:grpSp>
        <xdr:nvGrpSpPr>
          <xdr:cNvPr id="2" name="Shape 2">
            <a:extLst>
              <a:ext uri="{FF2B5EF4-FFF2-40B4-BE49-F238E27FC236}">
                <a16:creationId xmlns:a16="http://schemas.microsoft.com/office/drawing/2014/main" id="{00000000-0008-0000-0500-000002000000}"/>
              </a:ext>
            </a:extLst>
          </xdr:cNvPr>
          <xdr:cNvGrpSpPr/>
        </xdr:nvGrpSpPr>
        <xdr:grpSpPr>
          <a:xfrm>
            <a:off x="1085850"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sp macro="" textlink="">
        <xdr:nvSpPr>
          <xdr:cNvPr id="3" name="TextBox 2">
            <a:extLst>
              <a:ext uri="{FF2B5EF4-FFF2-40B4-BE49-F238E27FC236}">
                <a16:creationId xmlns:a16="http://schemas.microsoft.com/office/drawing/2014/main" id="{10F839F8-AB2E-6C05-B730-D97CC09816F7}"/>
              </a:ext>
            </a:extLst>
          </xdr:cNvPr>
          <xdr:cNvSpPr txBox="1"/>
        </xdr:nvSpPr>
        <xdr:spPr>
          <a:xfrm>
            <a:off x="1228725" y="1514475"/>
            <a:ext cx="2143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2">
                    <a:lumMod val="50000"/>
                  </a:schemeClr>
                </a:solidFill>
                <a:latin typeface="Calisto MT" panose="02040603050505030304" pitchFamily="18" charset="0"/>
              </a:rPr>
              <a:t>Total</a:t>
            </a:r>
            <a:r>
              <a:rPr lang="en-IN" sz="1800" b="1" baseline="0">
                <a:solidFill>
                  <a:schemeClr val="accent2">
                    <a:lumMod val="50000"/>
                  </a:schemeClr>
                </a:solidFill>
                <a:latin typeface="Calisto MT" panose="02040603050505030304" pitchFamily="18" charset="0"/>
              </a:rPr>
              <a:t> Employees</a:t>
            </a:r>
            <a:endParaRPr lang="en-IN" sz="1800" b="1">
              <a:solidFill>
                <a:schemeClr val="accent2">
                  <a:lumMod val="50000"/>
                </a:schemeClr>
              </a:solidFill>
              <a:latin typeface="Calisto MT" panose="02040603050505030304" pitchFamily="18" charset="0"/>
            </a:endParaRPr>
          </a:p>
        </xdr:txBody>
      </xdr:sp>
      <xdr:sp macro="" textlink="KPI!A8">
        <xdr:nvSpPr>
          <xdr:cNvPr id="5" name="TextBox 4">
            <a:extLst>
              <a:ext uri="{FF2B5EF4-FFF2-40B4-BE49-F238E27FC236}">
                <a16:creationId xmlns:a16="http://schemas.microsoft.com/office/drawing/2014/main" id="{8EADA676-7A20-C839-2F1C-A4792528F45E}"/>
              </a:ext>
            </a:extLst>
          </xdr:cNvPr>
          <xdr:cNvSpPr txBox="1"/>
        </xdr:nvSpPr>
        <xdr:spPr>
          <a:xfrm>
            <a:off x="1781175" y="1914525"/>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F98F30-D6E7-4E57-8273-C2DE879D3147}" type="TxLink">
              <a:rPr lang="en-US" sz="2600" b="1" i="0" u="none" strike="noStrike">
                <a:solidFill>
                  <a:srgbClr val="021A56"/>
                </a:solidFill>
                <a:latin typeface="Calisto MT" panose="02040603050505030304" pitchFamily="18" charset="0"/>
                <a:ea typeface="Calibri"/>
                <a:cs typeface="Calibri"/>
              </a:rPr>
              <a:pPr algn="ctr"/>
              <a:t>1470</a:t>
            </a:fld>
            <a:endParaRPr lang="en-IN" sz="2600" b="1">
              <a:solidFill>
                <a:srgbClr val="021A56"/>
              </a:solidFill>
              <a:latin typeface="Calisto MT" panose="02040603050505030304" pitchFamily="18" charset="0"/>
            </a:endParaRPr>
          </a:p>
        </xdr:txBody>
      </xdr:sp>
      <xdr:sp macro="" textlink="">
        <xdr:nvSpPr>
          <xdr:cNvPr id="6" name="TextBox 5">
            <a:extLst>
              <a:ext uri="{FF2B5EF4-FFF2-40B4-BE49-F238E27FC236}">
                <a16:creationId xmlns:a16="http://schemas.microsoft.com/office/drawing/2014/main" id="{3D7BE2CD-8C13-45F4-A0B1-668DDBA7F991}"/>
              </a:ext>
            </a:extLst>
          </xdr:cNvPr>
          <xdr:cNvSpPr txBox="1"/>
        </xdr:nvSpPr>
        <xdr:spPr>
          <a:xfrm>
            <a:off x="4171950" y="1524000"/>
            <a:ext cx="2143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2">
                    <a:lumMod val="50000"/>
                  </a:schemeClr>
                </a:solidFill>
                <a:latin typeface="Calisto MT" panose="02040603050505030304" pitchFamily="18" charset="0"/>
              </a:rPr>
              <a:t>Attrition</a:t>
            </a:r>
          </a:p>
        </xdr:txBody>
      </xdr:sp>
      <xdr:sp macro="" textlink="KPI!B8">
        <xdr:nvSpPr>
          <xdr:cNvPr id="7" name="TextBox 6">
            <a:extLst>
              <a:ext uri="{FF2B5EF4-FFF2-40B4-BE49-F238E27FC236}">
                <a16:creationId xmlns:a16="http://schemas.microsoft.com/office/drawing/2014/main" id="{F5BD8213-F80A-4127-AFAA-07AD30CEBB6F}"/>
              </a:ext>
            </a:extLst>
          </xdr:cNvPr>
          <xdr:cNvSpPr txBox="1"/>
        </xdr:nvSpPr>
        <xdr:spPr>
          <a:xfrm>
            <a:off x="4724400" y="1924050"/>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E3FAD3-CBC0-4D71-9042-8F4C49A9D2BD}" type="TxLink">
              <a:rPr lang="en-US" sz="2600" b="1" i="0" u="none" strike="noStrike">
                <a:solidFill>
                  <a:srgbClr val="021A56"/>
                </a:solidFill>
                <a:latin typeface="Calisto MT" panose="02040603050505030304" pitchFamily="18" charset="0"/>
                <a:ea typeface="Calibri"/>
                <a:cs typeface="Calibri"/>
              </a:rPr>
              <a:pPr marL="0" indent="0" algn="ctr"/>
              <a:t>237</a:t>
            </a:fld>
            <a:endParaRPr lang="en-IN" sz="2600" b="1" i="0" u="none" strike="noStrike">
              <a:solidFill>
                <a:srgbClr val="021A56"/>
              </a:solidFill>
              <a:latin typeface="Calisto MT" panose="02040603050505030304" pitchFamily="18" charset="0"/>
              <a:ea typeface="Calibri"/>
              <a:cs typeface="Calibri"/>
            </a:endParaRPr>
          </a:p>
        </xdr:txBody>
      </xdr:sp>
      <xdr:sp macro="" textlink="">
        <xdr:nvSpPr>
          <xdr:cNvPr id="8" name="TextBox 7">
            <a:extLst>
              <a:ext uri="{FF2B5EF4-FFF2-40B4-BE49-F238E27FC236}">
                <a16:creationId xmlns:a16="http://schemas.microsoft.com/office/drawing/2014/main" id="{8C430EA5-FC7D-4597-A13F-CD8535038582}"/>
              </a:ext>
            </a:extLst>
          </xdr:cNvPr>
          <xdr:cNvSpPr txBox="1"/>
        </xdr:nvSpPr>
        <xdr:spPr>
          <a:xfrm>
            <a:off x="7096125" y="1514475"/>
            <a:ext cx="2143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2">
                    <a:lumMod val="50000"/>
                  </a:schemeClr>
                </a:solidFill>
                <a:latin typeface="Calisto MT" panose="02040603050505030304" pitchFamily="18" charset="0"/>
              </a:rPr>
              <a:t>Active Emploees</a:t>
            </a:r>
          </a:p>
        </xdr:txBody>
      </xdr:sp>
      <xdr:sp macro="" textlink="KPI!D8">
        <xdr:nvSpPr>
          <xdr:cNvPr id="9" name="TextBox 8">
            <a:extLst>
              <a:ext uri="{FF2B5EF4-FFF2-40B4-BE49-F238E27FC236}">
                <a16:creationId xmlns:a16="http://schemas.microsoft.com/office/drawing/2014/main" id="{7CD8ACE9-B80D-43F6-9FF2-9FDB0CD4FC20}"/>
              </a:ext>
            </a:extLst>
          </xdr:cNvPr>
          <xdr:cNvSpPr txBox="1"/>
        </xdr:nvSpPr>
        <xdr:spPr>
          <a:xfrm>
            <a:off x="7648575" y="1914525"/>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15E9B8-68AD-489E-9683-BB9E048A4A28}" type="TxLink">
              <a:rPr lang="en-US" sz="2600" b="1" i="0" u="none" strike="noStrike">
                <a:solidFill>
                  <a:srgbClr val="021A56"/>
                </a:solidFill>
                <a:latin typeface="Calisto MT" panose="02040603050505030304" pitchFamily="18" charset="0"/>
                <a:ea typeface="Calibri"/>
                <a:cs typeface="Calibri"/>
              </a:rPr>
              <a:pPr marL="0" indent="0" algn="ctr"/>
              <a:t>1233</a:t>
            </a:fld>
            <a:endParaRPr lang="en-IN" sz="2600" b="1" i="0" u="none" strike="noStrike">
              <a:solidFill>
                <a:srgbClr val="021A56"/>
              </a:solidFill>
              <a:latin typeface="Calisto MT" panose="02040603050505030304" pitchFamily="18" charset="0"/>
              <a:ea typeface="Calibri"/>
              <a:cs typeface="Calibri"/>
            </a:endParaRPr>
          </a:p>
        </xdr:txBody>
      </xdr:sp>
      <xdr:sp macro="" textlink="">
        <xdr:nvSpPr>
          <xdr:cNvPr id="10" name="TextBox 9">
            <a:extLst>
              <a:ext uri="{FF2B5EF4-FFF2-40B4-BE49-F238E27FC236}">
                <a16:creationId xmlns:a16="http://schemas.microsoft.com/office/drawing/2014/main" id="{86FC4103-1027-4744-B163-78D683D16564}"/>
              </a:ext>
            </a:extLst>
          </xdr:cNvPr>
          <xdr:cNvSpPr txBox="1"/>
        </xdr:nvSpPr>
        <xdr:spPr>
          <a:xfrm>
            <a:off x="9934575" y="1504950"/>
            <a:ext cx="2143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2">
                    <a:lumMod val="50000"/>
                  </a:schemeClr>
                </a:solidFill>
                <a:latin typeface="Calisto MT" panose="02040603050505030304" pitchFamily="18" charset="0"/>
              </a:rPr>
              <a:t>Attrition Rate</a:t>
            </a:r>
          </a:p>
        </xdr:txBody>
      </xdr:sp>
      <xdr:sp macro="" textlink="KPI!E8">
        <xdr:nvSpPr>
          <xdr:cNvPr id="11" name="TextBox 10">
            <a:extLst>
              <a:ext uri="{FF2B5EF4-FFF2-40B4-BE49-F238E27FC236}">
                <a16:creationId xmlns:a16="http://schemas.microsoft.com/office/drawing/2014/main" id="{53FB2331-E264-4DFD-B58F-91071029EC0A}"/>
              </a:ext>
            </a:extLst>
          </xdr:cNvPr>
          <xdr:cNvSpPr txBox="1"/>
        </xdr:nvSpPr>
        <xdr:spPr>
          <a:xfrm>
            <a:off x="10487025" y="1895475"/>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1749A8-9ADA-4C99-B62C-C87C03969EA1}" type="TxLink">
              <a:rPr lang="en-US" sz="2600" b="1" i="0" u="none" strike="noStrike">
                <a:solidFill>
                  <a:srgbClr val="021A56"/>
                </a:solidFill>
                <a:latin typeface="Calisto MT" panose="02040603050505030304" pitchFamily="18" charset="0"/>
                <a:ea typeface="Calibri"/>
                <a:cs typeface="Calibri"/>
              </a:rPr>
              <a:pPr marL="0" indent="0" algn="ctr"/>
              <a:t>16.12%</a:t>
            </a:fld>
            <a:endParaRPr lang="en-IN" sz="2600" b="1" i="0" u="none" strike="noStrike">
              <a:solidFill>
                <a:srgbClr val="021A56"/>
              </a:solidFill>
              <a:latin typeface="Calisto MT" panose="02040603050505030304" pitchFamily="18" charset="0"/>
              <a:ea typeface="Calibri"/>
              <a:cs typeface="Calibri"/>
            </a:endParaRPr>
          </a:p>
        </xdr:txBody>
      </xdr:sp>
      <xdr:sp macro="" textlink="">
        <xdr:nvSpPr>
          <xdr:cNvPr id="12" name="TextBox 11">
            <a:extLst>
              <a:ext uri="{FF2B5EF4-FFF2-40B4-BE49-F238E27FC236}">
                <a16:creationId xmlns:a16="http://schemas.microsoft.com/office/drawing/2014/main" id="{522C33A5-6957-4BFE-B125-C56B4C2E618D}"/>
              </a:ext>
            </a:extLst>
          </xdr:cNvPr>
          <xdr:cNvSpPr txBox="1"/>
        </xdr:nvSpPr>
        <xdr:spPr>
          <a:xfrm>
            <a:off x="12858750" y="1476375"/>
            <a:ext cx="2143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2">
                    <a:lumMod val="50000"/>
                  </a:schemeClr>
                </a:solidFill>
                <a:latin typeface="Calisto MT" panose="02040603050505030304" pitchFamily="18" charset="0"/>
              </a:rPr>
              <a:t>Average Age</a:t>
            </a:r>
          </a:p>
        </xdr:txBody>
      </xdr:sp>
      <xdr:sp macro="" textlink="KPI!C8">
        <xdr:nvSpPr>
          <xdr:cNvPr id="13" name="TextBox 12">
            <a:extLst>
              <a:ext uri="{FF2B5EF4-FFF2-40B4-BE49-F238E27FC236}">
                <a16:creationId xmlns:a16="http://schemas.microsoft.com/office/drawing/2014/main" id="{0B8299EF-E404-4C0D-816E-2D3C35B8B2EF}"/>
              </a:ext>
            </a:extLst>
          </xdr:cNvPr>
          <xdr:cNvSpPr txBox="1"/>
        </xdr:nvSpPr>
        <xdr:spPr>
          <a:xfrm>
            <a:off x="13411200" y="1876425"/>
            <a:ext cx="16573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16648C-4518-420B-90E6-F490858AB0C9}" type="TxLink">
              <a:rPr lang="en-US" sz="2600" b="1" i="0" u="none" strike="noStrike">
                <a:solidFill>
                  <a:srgbClr val="021A56"/>
                </a:solidFill>
                <a:latin typeface="Calisto MT" panose="02040603050505030304" pitchFamily="18" charset="0"/>
                <a:ea typeface="Calibri"/>
                <a:cs typeface="Calibri"/>
              </a:rPr>
              <a:pPr marL="0" indent="0" algn="ctr"/>
              <a:t>37</a:t>
            </a:fld>
            <a:endParaRPr lang="en-IN" sz="2600" b="1" i="0" u="none" strike="noStrike">
              <a:solidFill>
                <a:srgbClr val="021A56"/>
              </a:solidFill>
              <a:latin typeface="Calisto MT" panose="02040603050505030304" pitchFamily="18" charset="0"/>
              <a:ea typeface="Calibri"/>
              <a:cs typeface="Calibri"/>
            </a:endParaRPr>
          </a:p>
        </xdr:txBody>
      </xdr:sp>
      <xdr:pic>
        <xdr:nvPicPr>
          <xdr:cNvPr id="20" name="Picture 19">
            <a:extLst>
              <a:ext uri="{FF2B5EF4-FFF2-40B4-BE49-F238E27FC236}">
                <a16:creationId xmlns:a16="http://schemas.microsoft.com/office/drawing/2014/main" id="{AEC8CAE3-48D4-0EE0-C2B6-5B0D0C393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48049" y="1581149"/>
            <a:ext cx="475639" cy="475639"/>
          </a:xfrm>
          <a:prstGeom prst="rect">
            <a:avLst/>
          </a:prstGeom>
        </xdr:spPr>
      </xdr:pic>
      <xdr:pic>
        <xdr:nvPicPr>
          <xdr:cNvPr id="22" name="Picture 21">
            <a:extLst>
              <a:ext uri="{FF2B5EF4-FFF2-40B4-BE49-F238E27FC236}">
                <a16:creationId xmlns:a16="http://schemas.microsoft.com/office/drawing/2014/main" id="{38B57E0E-8BA0-1095-9229-30FAE348213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flipV="1">
            <a:off x="12206435" y="1572535"/>
            <a:ext cx="585640" cy="389616"/>
          </a:xfrm>
          <a:prstGeom prst="rect">
            <a:avLst/>
          </a:prstGeom>
        </xdr:spPr>
      </xdr:pic>
      <xdr:pic>
        <xdr:nvPicPr>
          <xdr:cNvPr id="24" name="Picture 23">
            <a:extLst>
              <a:ext uri="{FF2B5EF4-FFF2-40B4-BE49-F238E27FC236}">
                <a16:creationId xmlns:a16="http://schemas.microsoft.com/office/drawing/2014/main" id="{0CA85630-3083-5504-81EB-ABF953B719F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220340" y="1580540"/>
            <a:ext cx="457810" cy="457810"/>
          </a:xfrm>
          <a:prstGeom prst="rect">
            <a:avLst/>
          </a:prstGeom>
        </xdr:spPr>
      </xdr:pic>
      <xdr:pic>
        <xdr:nvPicPr>
          <xdr:cNvPr id="26" name="Graphic 25" descr="Boardroom with solid fill">
            <a:extLst>
              <a:ext uri="{FF2B5EF4-FFF2-40B4-BE49-F238E27FC236}">
                <a16:creationId xmlns:a16="http://schemas.microsoft.com/office/drawing/2014/main" id="{BDAD728C-330A-8961-5275-E32FB021747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10675" y="1438275"/>
            <a:ext cx="704850" cy="704850"/>
          </a:xfrm>
          <a:prstGeom prst="rect">
            <a:avLst/>
          </a:prstGeom>
        </xdr:spPr>
      </xdr:pic>
      <xdr:pic>
        <xdr:nvPicPr>
          <xdr:cNvPr id="28" name="Graphic 27" descr="Bar graph with downward trend with solid fill">
            <a:extLst>
              <a:ext uri="{FF2B5EF4-FFF2-40B4-BE49-F238E27FC236}">
                <a16:creationId xmlns:a16="http://schemas.microsoft.com/office/drawing/2014/main" id="{3257A83E-09DD-CE36-41F2-F0B791CCA8D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353174" y="1514475"/>
            <a:ext cx="600075" cy="600075"/>
          </a:xfrm>
          <a:prstGeom prst="rect">
            <a:avLst/>
          </a:prstGeom>
        </xdr:spPr>
      </xdr:pic>
      <xdr:sp macro="" textlink="">
        <xdr:nvSpPr>
          <xdr:cNvPr id="29" name="TextBox 28">
            <a:extLst>
              <a:ext uri="{FF2B5EF4-FFF2-40B4-BE49-F238E27FC236}">
                <a16:creationId xmlns:a16="http://schemas.microsoft.com/office/drawing/2014/main" id="{393237C5-F42F-8837-3254-8058A71BF13A}"/>
              </a:ext>
            </a:extLst>
          </xdr:cNvPr>
          <xdr:cNvSpPr txBox="1"/>
        </xdr:nvSpPr>
        <xdr:spPr>
          <a:xfrm>
            <a:off x="2085975" y="647700"/>
            <a:ext cx="791527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800" b="1">
                <a:solidFill>
                  <a:srgbClr val="004C00"/>
                </a:solidFill>
                <a:latin typeface="Calisto MT" panose="02040603050505030304" pitchFamily="18" charset="0"/>
              </a:rPr>
              <a:t>HR</a:t>
            </a:r>
            <a:r>
              <a:rPr lang="en-IN" sz="3800" b="1" baseline="0">
                <a:solidFill>
                  <a:srgbClr val="004C00"/>
                </a:solidFill>
                <a:latin typeface="Calisto MT" panose="02040603050505030304" pitchFamily="18" charset="0"/>
              </a:rPr>
              <a:t> ANALYTICS DASHBOARD</a:t>
            </a:r>
            <a:endParaRPr lang="en-IN" sz="3800" b="1">
              <a:solidFill>
                <a:srgbClr val="004C00"/>
              </a:solidFill>
              <a:latin typeface="Calisto MT" panose="02040603050505030304" pitchFamily="18" charset="0"/>
            </a:endParaRPr>
          </a:p>
        </xdr:txBody>
      </xdr:sp>
      <xdr:pic>
        <xdr:nvPicPr>
          <xdr:cNvPr id="32" name="Picture 31">
            <a:extLst>
              <a:ext uri="{FF2B5EF4-FFF2-40B4-BE49-F238E27FC236}">
                <a16:creationId xmlns:a16="http://schemas.microsoft.com/office/drawing/2014/main" id="{17BABAF0-B8F5-339A-403D-BB2B3B6F7B5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23975" y="637564"/>
            <a:ext cx="657225" cy="657225"/>
          </a:xfrm>
          <a:prstGeom prst="rect">
            <a:avLst/>
          </a:prstGeom>
        </xdr:spPr>
      </xdr:pic>
      <xdr:pic>
        <xdr:nvPicPr>
          <xdr:cNvPr id="34" name="Picture 33">
            <a:extLst>
              <a:ext uri="{FF2B5EF4-FFF2-40B4-BE49-F238E27FC236}">
                <a16:creationId xmlns:a16="http://schemas.microsoft.com/office/drawing/2014/main" id="{BFD36937-21CC-664B-BD9C-F70CEEECD51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953624" y="666750"/>
            <a:ext cx="819151" cy="637565"/>
          </a:xfrm>
          <a:prstGeom prst="rect">
            <a:avLst/>
          </a:prstGeom>
        </xdr:spPr>
      </xdr:pic>
      <xdr:sp macro="" textlink="">
        <xdr:nvSpPr>
          <xdr:cNvPr id="35" name="TextBox 34">
            <a:extLst>
              <a:ext uri="{FF2B5EF4-FFF2-40B4-BE49-F238E27FC236}">
                <a16:creationId xmlns:a16="http://schemas.microsoft.com/office/drawing/2014/main" id="{F3746816-FA66-1DE0-BB6F-D9754E3CC85B}"/>
              </a:ext>
            </a:extLst>
          </xdr:cNvPr>
          <xdr:cNvSpPr txBox="1"/>
        </xdr:nvSpPr>
        <xdr:spPr>
          <a:xfrm>
            <a:off x="10725149" y="542925"/>
            <a:ext cx="1514475"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004C00"/>
                </a:solidFill>
                <a:latin typeface="Calisto MT" panose="02040603050505030304" pitchFamily="18" charset="0"/>
              </a:rPr>
              <a:t>Job</a:t>
            </a:r>
            <a:r>
              <a:rPr lang="en-IN" sz="1600" b="1" baseline="0">
                <a:solidFill>
                  <a:srgbClr val="004C00"/>
                </a:solidFill>
                <a:latin typeface="Calisto MT" panose="02040603050505030304" pitchFamily="18" charset="0"/>
              </a:rPr>
              <a:t> </a:t>
            </a:r>
          </a:p>
          <a:p>
            <a:pPr algn="ctr"/>
            <a:r>
              <a:rPr lang="en-IN" sz="1600" b="1" baseline="0">
                <a:solidFill>
                  <a:srgbClr val="004C00"/>
                </a:solidFill>
                <a:latin typeface="Calisto MT" panose="02040603050505030304" pitchFamily="18" charset="0"/>
              </a:rPr>
              <a:t>Satisfaction</a:t>
            </a:r>
          </a:p>
          <a:p>
            <a:pPr algn="ctr"/>
            <a:r>
              <a:rPr lang="en-IN" sz="1600" b="1" baseline="0">
                <a:solidFill>
                  <a:srgbClr val="004C00"/>
                </a:solidFill>
                <a:latin typeface="Calisto MT" panose="02040603050505030304" pitchFamily="18" charset="0"/>
              </a:rPr>
              <a:t>Rating</a:t>
            </a:r>
            <a:endParaRPr lang="en-IN" sz="1200" b="1">
              <a:solidFill>
                <a:srgbClr val="004C00"/>
              </a:solidFill>
              <a:latin typeface="Calisto MT" panose="02040603050505030304" pitchFamily="18" charset="0"/>
            </a:endParaRPr>
          </a:p>
        </xdr:txBody>
      </xdr:sp>
      <xdr:graphicFrame macro="">
        <xdr:nvGraphicFramePr>
          <xdr:cNvPr id="36" name="Chart 35">
            <a:extLst>
              <a:ext uri="{FF2B5EF4-FFF2-40B4-BE49-F238E27FC236}">
                <a16:creationId xmlns:a16="http://schemas.microsoft.com/office/drawing/2014/main" id="{7923E28C-136C-48CE-828B-69F0AE444AC0}"/>
              </a:ext>
            </a:extLst>
          </xdr:cNvPr>
          <xdr:cNvGraphicFramePr>
            <a:graphicFrameLocks/>
          </xdr:cNvGraphicFramePr>
        </xdr:nvGraphicFramePr>
        <xdr:xfrm>
          <a:off x="12020550" y="552450"/>
          <a:ext cx="1019175" cy="790575"/>
        </xdr:xfrm>
        <a:graphic>
          <a:graphicData uri="http://schemas.openxmlformats.org/drawingml/2006/chart">
            <c:chart xmlns:c="http://schemas.openxmlformats.org/drawingml/2006/chart" xmlns:r="http://schemas.openxmlformats.org/officeDocument/2006/relationships" r:id="rId10"/>
          </a:graphicData>
        </a:graphic>
      </xdr:graphicFrame>
      <xdr:sp macro="" textlink="Rating!$B$6">
        <xdr:nvSpPr>
          <xdr:cNvPr id="37" name="TextBox 36">
            <a:extLst>
              <a:ext uri="{FF2B5EF4-FFF2-40B4-BE49-F238E27FC236}">
                <a16:creationId xmlns:a16="http://schemas.microsoft.com/office/drawing/2014/main" id="{848E11FE-2011-C018-A1F6-80A9DA7548B9}"/>
              </a:ext>
            </a:extLst>
          </xdr:cNvPr>
          <xdr:cNvSpPr txBox="1"/>
        </xdr:nvSpPr>
        <xdr:spPr>
          <a:xfrm>
            <a:off x="12334875" y="800100"/>
            <a:ext cx="3810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3B503B-8F7B-4EB3-A1E1-1CD61ED9C278}" type="TxLink">
              <a:rPr lang="en-US" sz="1100" b="1" i="0" u="none" strike="noStrike">
                <a:solidFill>
                  <a:srgbClr val="021A56"/>
                </a:solidFill>
                <a:latin typeface="Calisto MT" panose="02040603050505030304" pitchFamily="18" charset="0"/>
                <a:ea typeface="Calibri"/>
                <a:cs typeface="Calibri"/>
              </a:rPr>
              <a:pPr marL="0" indent="0" algn="ctr"/>
              <a:t>2.6</a:t>
            </a:fld>
            <a:endParaRPr lang="en-IN" sz="1100" b="1" i="0" u="none" strike="noStrike">
              <a:solidFill>
                <a:srgbClr val="021A56"/>
              </a:solidFill>
              <a:latin typeface="Calisto MT" panose="02040603050505030304" pitchFamily="18" charset="0"/>
              <a:ea typeface="Calibri"/>
              <a:cs typeface="Calibri"/>
            </a:endParaRPr>
          </a:p>
        </xdr:txBody>
      </xdr:sp>
      <xdr:graphicFrame macro="">
        <xdr:nvGraphicFramePr>
          <xdr:cNvPr id="39" name="Chart 38">
            <a:extLst>
              <a:ext uri="{FF2B5EF4-FFF2-40B4-BE49-F238E27FC236}">
                <a16:creationId xmlns:a16="http://schemas.microsoft.com/office/drawing/2014/main" id="{DAB54AE6-C0A6-45BA-AA1D-DDB4A48FD15D}"/>
              </a:ext>
            </a:extLst>
          </xdr:cNvPr>
          <xdr:cNvGraphicFramePr>
            <a:graphicFrameLocks/>
          </xdr:cNvGraphicFramePr>
        </xdr:nvGraphicFramePr>
        <xdr:xfrm>
          <a:off x="12954000" y="714375"/>
          <a:ext cx="2085975" cy="561975"/>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40" name="Freeform: Shape 39">
            <a:extLst>
              <a:ext uri="{FF2B5EF4-FFF2-40B4-BE49-F238E27FC236}">
                <a16:creationId xmlns:a16="http://schemas.microsoft.com/office/drawing/2014/main" id="{7C2C22E9-612B-2E4C-1691-4B30B4BD936B}"/>
              </a:ext>
            </a:extLst>
          </xdr:cNvPr>
          <xdr:cNvSpPr/>
        </xdr:nvSpPr>
        <xdr:spPr>
          <a:xfrm>
            <a:off x="13058775" y="781050"/>
            <a:ext cx="2008800" cy="450000"/>
          </a:xfrm>
          <a:custGeom>
            <a:avLst/>
            <a:gdLst>
              <a:gd name="connsiteX0" fmla="*/ 1723920 w 2008800"/>
              <a:gd name="connsiteY0" fmla="*/ 13607 h 450000"/>
              <a:gd name="connsiteX1" fmla="*/ 1674017 w 2008800"/>
              <a:gd name="connsiteY1" fmla="*/ 175098 h 450000"/>
              <a:gd name="connsiteX2" fmla="*/ 1512526 w 2008800"/>
              <a:gd name="connsiteY2" fmla="*/ 175097 h 450000"/>
              <a:gd name="connsiteX3" fmla="*/ 1643176 w 2008800"/>
              <a:gd name="connsiteY3" fmla="*/ 274903 h 450000"/>
              <a:gd name="connsiteX4" fmla="*/ 1593271 w 2008800"/>
              <a:gd name="connsiteY4" fmla="*/ 436393 h 450000"/>
              <a:gd name="connsiteX5" fmla="*/ 1723920 w 2008800"/>
              <a:gd name="connsiteY5" fmla="*/ 336585 h 450000"/>
              <a:gd name="connsiteX6" fmla="*/ 1854568 w 2008800"/>
              <a:gd name="connsiteY6" fmla="*/ 436393 h 450000"/>
              <a:gd name="connsiteX7" fmla="*/ 1804663 w 2008800"/>
              <a:gd name="connsiteY7" fmla="*/ 274903 h 450000"/>
              <a:gd name="connsiteX8" fmla="*/ 1935313 w 2008800"/>
              <a:gd name="connsiteY8" fmla="*/ 175097 h 450000"/>
              <a:gd name="connsiteX9" fmla="*/ 1773822 w 2008800"/>
              <a:gd name="connsiteY9" fmla="*/ 175098 h 450000"/>
              <a:gd name="connsiteX10" fmla="*/ 1220837 w 2008800"/>
              <a:gd name="connsiteY10" fmla="*/ 13607 h 450000"/>
              <a:gd name="connsiteX11" fmla="*/ 1170934 w 2008800"/>
              <a:gd name="connsiteY11" fmla="*/ 175098 h 450000"/>
              <a:gd name="connsiteX12" fmla="*/ 1009443 w 2008800"/>
              <a:gd name="connsiteY12" fmla="*/ 175097 h 450000"/>
              <a:gd name="connsiteX13" fmla="*/ 1140093 w 2008800"/>
              <a:gd name="connsiteY13" fmla="*/ 274903 h 450000"/>
              <a:gd name="connsiteX14" fmla="*/ 1090188 w 2008800"/>
              <a:gd name="connsiteY14" fmla="*/ 436393 h 450000"/>
              <a:gd name="connsiteX15" fmla="*/ 1220837 w 2008800"/>
              <a:gd name="connsiteY15" fmla="*/ 336585 h 450000"/>
              <a:gd name="connsiteX16" fmla="*/ 1351485 w 2008800"/>
              <a:gd name="connsiteY16" fmla="*/ 436393 h 450000"/>
              <a:gd name="connsiteX17" fmla="*/ 1301580 w 2008800"/>
              <a:gd name="connsiteY17" fmla="*/ 274903 h 450000"/>
              <a:gd name="connsiteX18" fmla="*/ 1432230 w 2008800"/>
              <a:gd name="connsiteY18" fmla="*/ 175097 h 450000"/>
              <a:gd name="connsiteX19" fmla="*/ 1270739 w 2008800"/>
              <a:gd name="connsiteY19" fmla="*/ 175098 h 450000"/>
              <a:gd name="connsiteX20" fmla="*/ 727587 w 2008800"/>
              <a:gd name="connsiteY20" fmla="*/ 13607 h 450000"/>
              <a:gd name="connsiteX21" fmla="*/ 677684 w 2008800"/>
              <a:gd name="connsiteY21" fmla="*/ 175098 h 450000"/>
              <a:gd name="connsiteX22" fmla="*/ 516193 w 2008800"/>
              <a:gd name="connsiteY22" fmla="*/ 175097 h 450000"/>
              <a:gd name="connsiteX23" fmla="*/ 646843 w 2008800"/>
              <a:gd name="connsiteY23" fmla="*/ 274903 h 450000"/>
              <a:gd name="connsiteX24" fmla="*/ 596938 w 2008800"/>
              <a:gd name="connsiteY24" fmla="*/ 436393 h 450000"/>
              <a:gd name="connsiteX25" fmla="*/ 727587 w 2008800"/>
              <a:gd name="connsiteY25" fmla="*/ 336585 h 450000"/>
              <a:gd name="connsiteX26" fmla="*/ 858235 w 2008800"/>
              <a:gd name="connsiteY26" fmla="*/ 436393 h 450000"/>
              <a:gd name="connsiteX27" fmla="*/ 808330 w 2008800"/>
              <a:gd name="connsiteY27" fmla="*/ 274903 h 450000"/>
              <a:gd name="connsiteX28" fmla="*/ 938980 w 2008800"/>
              <a:gd name="connsiteY28" fmla="*/ 175097 h 450000"/>
              <a:gd name="connsiteX29" fmla="*/ 777489 w 2008800"/>
              <a:gd name="connsiteY29" fmla="*/ 175098 h 450000"/>
              <a:gd name="connsiteX30" fmla="*/ 224505 w 2008800"/>
              <a:gd name="connsiteY30" fmla="*/ 13607 h 450000"/>
              <a:gd name="connsiteX31" fmla="*/ 174602 w 2008800"/>
              <a:gd name="connsiteY31" fmla="*/ 175098 h 450000"/>
              <a:gd name="connsiteX32" fmla="*/ 13111 w 2008800"/>
              <a:gd name="connsiteY32" fmla="*/ 175097 h 450000"/>
              <a:gd name="connsiteX33" fmla="*/ 143761 w 2008800"/>
              <a:gd name="connsiteY33" fmla="*/ 274903 h 450000"/>
              <a:gd name="connsiteX34" fmla="*/ 93856 w 2008800"/>
              <a:gd name="connsiteY34" fmla="*/ 436393 h 450000"/>
              <a:gd name="connsiteX35" fmla="*/ 224505 w 2008800"/>
              <a:gd name="connsiteY35" fmla="*/ 336585 h 450000"/>
              <a:gd name="connsiteX36" fmla="*/ 355153 w 2008800"/>
              <a:gd name="connsiteY36" fmla="*/ 436393 h 450000"/>
              <a:gd name="connsiteX37" fmla="*/ 305248 w 2008800"/>
              <a:gd name="connsiteY37" fmla="*/ 274903 h 450000"/>
              <a:gd name="connsiteX38" fmla="*/ 435898 w 2008800"/>
              <a:gd name="connsiteY38" fmla="*/ 175097 h 450000"/>
              <a:gd name="connsiteX39" fmla="*/ 274407 w 2008800"/>
              <a:gd name="connsiteY39" fmla="*/ 175098 h 450000"/>
              <a:gd name="connsiteX40" fmla="*/ 0 w 2008800"/>
              <a:gd name="connsiteY40" fmla="*/ 0 h 450000"/>
              <a:gd name="connsiteX41" fmla="*/ 2008800 w 2008800"/>
              <a:gd name="connsiteY41" fmla="*/ 0 h 450000"/>
              <a:gd name="connsiteX42" fmla="*/ 2008800 w 2008800"/>
              <a:gd name="connsiteY42" fmla="*/ 450000 h 450000"/>
              <a:gd name="connsiteX43" fmla="*/ 0 w 2008800"/>
              <a:gd name="connsiteY43" fmla="*/ 450000 h 45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008800" h="450000">
                <a:moveTo>
                  <a:pt x="1723920" y="13607"/>
                </a:moveTo>
                <a:lnTo>
                  <a:pt x="1674017" y="175098"/>
                </a:lnTo>
                <a:lnTo>
                  <a:pt x="1512526" y="175097"/>
                </a:lnTo>
                <a:lnTo>
                  <a:pt x="1643176" y="274903"/>
                </a:lnTo>
                <a:lnTo>
                  <a:pt x="1593271" y="436393"/>
                </a:lnTo>
                <a:lnTo>
                  <a:pt x="1723920" y="336585"/>
                </a:lnTo>
                <a:lnTo>
                  <a:pt x="1854568" y="436393"/>
                </a:lnTo>
                <a:lnTo>
                  <a:pt x="1804663" y="274903"/>
                </a:lnTo>
                <a:lnTo>
                  <a:pt x="1935313" y="175097"/>
                </a:lnTo>
                <a:lnTo>
                  <a:pt x="1773822" y="175098"/>
                </a:lnTo>
                <a:close/>
                <a:moveTo>
                  <a:pt x="1220837" y="13607"/>
                </a:moveTo>
                <a:lnTo>
                  <a:pt x="1170934" y="175098"/>
                </a:lnTo>
                <a:lnTo>
                  <a:pt x="1009443" y="175097"/>
                </a:lnTo>
                <a:lnTo>
                  <a:pt x="1140093" y="274903"/>
                </a:lnTo>
                <a:lnTo>
                  <a:pt x="1090188" y="436393"/>
                </a:lnTo>
                <a:lnTo>
                  <a:pt x="1220837" y="336585"/>
                </a:lnTo>
                <a:lnTo>
                  <a:pt x="1351485" y="436393"/>
                </a:lnTo>
                <a:lnTo>
                  <a:pt x="1301580" y="274903"/>
                </a:lnTo>
                <a:lnTo>
                  <a:pt x="1432230" y="175097"/>
                </a:lnTo>
                <a:lnTo>
                  <a:pt x="1270739" y="175098"/>
                </a:lnTo>
                <a:close/>
                <a:moveTo>
                  <a:pt x="727587" y="13607"/>
                </a:moveTo>
                <a:lnTo>
                  <a:pt x="677684" y="175098"/>
                </a:lnTo>
                <a:lnTo>
                  <a:pt x="516193" y="175097"/>
                </a:lnTo>
                <a:lnTo>
                  <a:pt x="646843" y="274903"/>
                </a:lnTo>
                <a:lnTo>
                  <a:pt x="596938" y="436393"/>
                </a:lnTo>
                <a:lnTo>
                  <a:pt x="727587" y="336585"/>
                </a:lnTo>
                <a:lnTo>
                  <a:pt x="858235" y="436393"/>
                </a:lnTo>
                <a:lnTo>
                  <a:pt x="808330" y="274903"/>
                </a:lnTo>
                <a:lnTo>
                  <a:pt x="938980" y="175097"/>
                </a:lnTo>
                <a:lnTo>
                  <a:pt x="777489" y="175098"/>
                </a:lnTo>
                <a:close/>
                <a:moveTo>
                  <a:pt x="224505" y="13607"/>
                </a:moveTo>
                <a:lnTo>
                  <a:pt x="174602" y="175098"/>
                </a:lnTo>
                <a:lnTo>
                  <a:pt x="13111" y="175097"/>
                </a:lnTo>
                <a:lnTo>
                  <a:pt x="143761" y="274903"/>
                </a:lnTo>
                <a:lnTo>
                  <a:pt x="93856" y="436393"/>
                </a:lnTo>
                <a:lnTo>
                  <a:pt x="224505" y="336585"/>
                </a:lnTo>
                <a:lnTo>
                  <a:pt x="355153" y="436393"/>
                </a:lnTo>
                <a:lnTo>
                  <a:pt x="305248" y="274903"/>
                </a:lnTo>
                <a:lnTo>
                  <a:pt x="435898" y="175097"/>
                </a:lnTo>
                <a:lnTo>
                  <a:pt x="274407" y="175098"/>
                </a:lnTo>
                <a:close/>
                <a:moveTo>
                  <a:pt x="0" y="0"/>
                </a:moveTo>
                <a:lnTo>
                  <a:pt x="2008800" y="0"/>
                </a:lnTo>
                <a:lnTo>
                  <a:pt x="2008800" y="450000"/>
                </a:lnTo>
                <a:lnTo>
                  <a:pt x="0" y="450000"/>
                </a:lnTo>
                <a:close/>
              </a:path>
            </a:pathLst>
          </a:cu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aphicFrame macro="">
        <xdr:nvGraphicFramePr>
          <xdr:cNvPr id="41" name="Chart 40">
            <a:extLst>
              <a:ext uri="{FF2B5EF4-FFF2-40B4-BE49-F238E27FC236}">
                <a16:creationId xmlns:a16="http://schemas.microsoft.com/office/drawing/2014/main" id="{D68E0746-91F5-4AA9-8049-DA1C4EEFD5A6}"/>
              </a:ext>
            </a:extLst>
          </xdr:cNvPr>
          <xdr:cNvGraphicFramePr>
            <a:graphicFrameLocks/>
          </xdr:cNvGraphicFramePr>
        </xdr:nvGraphicFramePr>
        <xdr:xfrm>
          <a:off x="1333500" y="3481387"/>
          <a:ext cx="1485900" cy="153543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2" name="Chart 41">
            <a:extLst>
              <a:ext uri="{FF2B5EF4-FFF2-40B4-BE49-F238E27FC236}">
                <a16:creationId xmlns:a16="http://schemas.microsoft.com/office/drawing/2014/main" id="{F7CA3B51-16D6-43B6-A775-2E6EFCC2D829}"/>
              </a:ext>
            </a:extLst>
          </xdr:cNvPr>
          <xdr:cNvGraphicFramePr>
            <a:graphicFrameLocks/>
          </xdr:cNvGraphicFramePr>
        </xdr:nvGraphicFramePr>
        <xdr:xfrm>
          <a:off x="3771900" y="3481387"/>
          <a:ext cx="1485900" cy="1535430"/>
        </xdr:xfrm>
        <a:graphic>
          <a:graphicData uri="http://schemas.openxmlformats.org/drawingml/2006/chart">
            <c:chart xmlns:c="http://schemas.openxmlformats.org/drawingml/2006/chart" xmlns:r="http://schemas.openxmlformats.org/officeDocument/2006/relationships" r:id="rId13"/>
          </a:graphicData>
        </a:graphic>
      </xdr:graphicFrame>
      <xdr:pic>
        <xdr:nvPicPr>
          <xdr:cNvPr id="44" name="Graphic 43" descr="Male profile with solid fill">
            <a:extLst>
              <a:ext uri="{FF2B5EF4-FFF2-40B4-BE49-F238E27FC236}">
                <a16:creationId xmlns:a16="http://schemas.microsoft.com/office/drawing/2014/main" id="{98451ED3-5091-C56A-B20A-B0D3C0BD664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28974" y="3648075"/>
            <a:ext cx="756000" cy="798002"/>
          </a:xfrm>
          <a:prstGeom prst="rect">
            <a:avLst/>
          </a:prstGeom>
        </xdr:spPr>
      </xdr:pic>
      <xdr:pic>
        <xdr:nvPicPr>
          <xdr:cNvPr id="46" name="Graphic 45" descr="Female Profile with solid fill">
            <a:extLst>
              <a:ext uri="{FF2B5EF4-FFF2-40B4-BE49-F238E27FC236}">
                <a16:creationId xmlns:a16="http://schemas.microsoft.com/office/drawing/2014/main" id="{514DD319-2C78-30AB-961C-358350C892E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645550" y="3672994"/>
            <a:ext cx="720000" cy="748164"/>
          </a:xfrm>
          <a:prstGeom prst="rect">
            <a:avLst/>
          </a:prstGeom>
        </xdr:spPr>
      </xdr:pic>
      <xdr:sp macro="" textlink="">
        <xdr:nvSpPr>
          <xdr:cNvPr id="49" name="TextBox 48">
            <a:extLst>
              <a:ext uri="{FF2B5EF4-FFF2-40B4-BE49-F238E27FC236}">
                <a16:creationId xmlns:a16="http://schemas.microsoft.com/office/drawing/2014/main" id="{2667FE70-9AB4-460B-85A7-EC3DFB051999}"/>
              </a:ext>
            </a:extLst>
          </xdr:cNvPr>
          <xdr:cNvSpPr txBox="1"/>
        </xdr:nvSpPr>
        <xdr:spPr>
          <a:xfrm>
            <a:off x="1019175" y="2552700"/>
            <a:ext cx="2819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latin typeface="Calisto MT" panose="02040603050505030304" pitchFamily="18" charset="0"/>
              </a:rPr>
              <a:t>Total</a:t>
            </a:r>
            <a:r>
              <a:rPr lang="en-IN" sz="1400" b="1" baseline="0">
                <a:solidFill>
                  <a:schemeClr val="accent2">
                    <a:lumMod val="50000"/>
                  </a:schemeClr>
                </a:solidFill>
                <a:latin typeface="Calisto MT" panose="02040603050505030304" pitchFamily="18" charset="0"/>
              </a:rPr>
              <a:t> Employees by Gender</a:t>
            </a:r>
            <a:endParaRPr lang="en-IN" sz="1400" b="1">
              <a:solidFill>
                <a:schemeClr val="accent2">
                  <a:lumMod val="50000"/>
                </a:schemeClr>
              </a:solidFill>
              <a:latin typeface="Calisto MT" panose="02040603050505030304" pitchFamily="18" charset="0"/>
            </a:endParaRPr>
          </a:p>
        </xdr:txBody>
      </xdr:sp>
      <mc:AlternateContent xmlns:mc="http://schemas.openxmlformats.org/markup-compatibility/2006" xmlns:a14="http://schemas.microsoft.com/office/drawing/2010/main">
        <mc:Choice Requires="a14">
          <xdr:graphicFrame macro="">
            <xdr:nvGraphicFramePr>
              <xdr:cNvPr id="50" name="Gender 3">
                <a:extLst>
                  <a:ext uri="{FF2B5EF4-FFF2-40B4-BE49-F238E27FC236}">
                    <a16:creationId xmlns:a16="http://schemas.microsoft.com/office/drawing/2014/main" id="{79F9C379-C6BE-4225-B5F6-F2D054EA6DA4}"/>
                  </a:ext>
                </a:extLst>
              </xdr:cNvPr>
              <xdr:cNvGraphicFramePr/>
            </xdr:nvGraphicFramePr>
            <xdr:xfrm>
              <a:off x="2400300" y="2990850"/>
              <a:ext cx="1781175" cy="676275"/>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400300" y="3038475"/>
                <a:ext cx="1781175"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1" name="Chart 50">
            <a:extLst>
              <a:ext uri="{FF2B5EF4-FFF2-40B4-BE49-F238E27FC236}">
                <a16:creationId xmlns:a16="http://schemas.microsoft.com/office/drawing/2014/main" id="{35A0E274-C817-4074-88C3-FCB6121F9AB0}"/>
              </a:ext>
            </a:extLst>
          </xdr:cNvPr>
          <xdr:cNvGraphicFramePr>
            <a:graphicFrameLocks/>
          </xdr:cNvGraphicFramePr>
        </xdr:nvGraphicFramePr>
        <xdr:xfrm>
          <a:off x="5762624" y="2933700"/>
          <a:ext cx="4829175" cy="2228849"/>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52" name="TextBox 51">
            <a:extLst>
              <a:ext uri="{FF2B5EF4-FFF2-40B4-BE49-F238E27FC236}">
                <a16:creationId xmlns:a16="http://schemas.microsoft.com/office/drawing/2014/main" id="{E9226F37-77F3-4044-8871-104745CB15F6}"/>
              </a:ext>
            </a:extLst>
          </xdr:cNvPr>
          <xdr:cNvSpPr txBox="1"/>
        </xdr:nvSpPr>
        <xdr:spPr>
          <a:xfrm>
            <a:off x="5486400" y="2571750"/>
            <a:ext cx="2819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latin typeface="Calisto MT" panose="02040603050505030304" pitchFamily="18" charset="0"/>
              </a:rPr>
              <a:t>Education wise Attrition</a:t>
            </a:r>
          </a:p>
        </xdr:txBody>
      </xdr:sp>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CFA875B4-7ABF-4AA0-A698-85FD0AC716E4}"/>
                  </a:ext>
                </a:extLst>
              </xdr:cNvPr>
              <xdr:cNvGraphicFramePr/>
            </xdr:nvGraphicFramePr>
            <xdr:xfrm>
              <a:off x="11077575" y="2914650"/>
              <a:ext cx="4572000" cy="222885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1077575" y="2914650"/>
                <a:ext cx="4572000" cy="2228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54" name="TextBox 53">
            <a:extLst>
              <a:ext uri="{FF2B5EF4-FFF2-40B4-BE49-F238E27FC236}">
                <a16:creationId xmlns:a16="http://schemas.microsoft.com/office/drawing/2014/main" id="{CE7EA5B1-C5C0-44D6-A9E2-8A967A11A201}"/>
              </a:ext>
            </a:extLst>
          </xdr:cNvPr>
          <xdr:cNvSpPr txBox="1"/>
        </xdr:nvSpPr>
        <xdr:spPr>
          <a:xfrm>
            <a:off x="10782300" y="2590800"/>
            <a:ext cx="2819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latin typeface="Calisto MT" panose="02040603050505030304" pitchFamily="18" charset="0"/>
              </a:rPr>
              <a:t>Attrition by Job Role</a:t>
            </a:r>
          </a:p>
        </xdr:txBody>
      </xdr:sp>
      <xdr:graphicFrame macro="">
        <xdr:nvGraphicFramePr>
          <xdr:cNvPr id="55" name="Chart 54">
            <a:extLst>
              <a:ext uri="{FF2B5EF4-FFF2-40B4-BE49-F238E27FC236}">
                <a16:creationId xmlns:a16="http://schemas.microsoft.com/office/drawing/2014/main" id="{0F1F83FB-3DA3-4758-8FCA-15981EF9FF5A}"/>
              </a:ext>
            </a:extLst>
          </xdr:cNvPr>
          <xdr:cNvGraphicFramePr>
            <a:graphicFrameLocks/>
          </xdr:cNvGraphicFramePr>
        </xdr:nvGraphicFramePr>
        <xdr:xfrm>
          <a:off x="1543050" y="5676899"/>
          <a:ext cx="3617595" cy="2038351"/>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57" name="TextBox 56">
            <a:extLst>
              <a:ext uri="{FF2B5EF4-FFF2-40B4-BE49-F238E27FC236}">
                <a16:creationId xmlns:a16="http://schemas.microsoft.com/office/drawing/2014/main" id="{67833BCF-22A4-4463-9D08-82FF6319A58D}"/>
              </a:ext>
            </a:extLst>
          </xdr:cNvPr>
          <xdr:cNvSpPr txBox="1"/>
        </xdr:nvSpPr>
        <xdr:spPr>
          <a:xfrm>
            <a:off x="1076325" y="5267325"/>
            <a:ext cx="2819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latin typeface="Calisto MT" panose="02040603050505030304" pitchFamily="18" charset="0"/>
              </a:rPr>
              <a:t>Department wise Attrition</a:t>
            </a:r>
          </a:p>
        </xdr:txBody>
      </xdr:sp>
      <xdr:graphicFrame macro="">
        <xdr:nvGraphicFramePr>
          <xdr:cNvPr id="58" name="Chart 57">
            <a:extLst>
              <a:ext uri="{FF2B5EF4-FFF2-40B4-BE49-F238E27FC236}">
                <a16:creationId xmlns:a16="http://schemas.microsoft.com/office/drawing/2014/main" id="{42F007F1-3D89-4D92-9E3E-9C06D462692E}"/>
              </a:ext>
            </a:extLst>
          </xdr:cNvPr>
          <xdr:cNvGraphicFramePr>
            <a:graphicFrameLocks/>
          </xdr:cNvGraphicFramePr>
        </xdr:nvGraphicFramePr>
        <xdr:xfrm>
          <a:off x="5800725" y="5638800"/>
          <a:ext cx="3343275" cy="2105025"/>
        </xdr:xfrm>
        <a:graphic>
          <a:graphicData uri="http://schemas.openxmlformats.org/drawingml/2006/chart">
            <c:chart xmlns:c="http://schemas.openxmlformats.org/drawingml/2006/chart" xmlns:r="http://schemas.openxmlformats.org/officeDocument/2006/relationships" r:id="rId21"/>
          </a:graphicData>
        </a:graphic>
      </xdr:graphicFrame>
      <xdr:sp macro="" textlink="">
        <xdr:nvSpPr>
          <xdr:cNvPr id="59" name="TextBox 58">
            <a:extLst>
              <a:ext uri="{FF2B5EF4-FFF2-40B4-BE49-F238E27FC236}">
                <a16:creationId xmlns:a16="http://schemas.microsoft.com/office/drawing/2014/main" id="{93CBB288-331D-40DF-AC6E-E20E88D28A1F}"/>
              </a:ext>
            </a:extLst>
          </xdr:cNvPr>
          <xdr:cNvSpPr txBox="1"/>
        </xdr:nvSpPr>
        <xdr:spPr>
          <a:xfrm>
            <a:off x="5543549" y="5276850"/>
            <a:ext cx="24860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latin typeface="Calisto MT" panose="02040603050505030304" pitchFamily="18" charset="0"/>
              </a:rPr>
              <a:t>Attrition by</a:t>
            </a:r>
            <a:r>
              <a:rPr lang="en-IN" sz="1400" b="1" baseline="0">
                <a:solidFill>
                  <a:schemeClr val="accent2">
                    <a:lumMod val="50000"/>
                  </a:schemeClr>
                </a:solidFill>
                <a:latin typeface="Calisto MT" panose="02040603050505030304" pitchFamily="18" charset="0"/>
              </a:rPr>
              <a:t> Age Group</a:t>
            </a:r>
            <a:endParaRPr lang="en-IN" sz="1400" b="1">
              <a:solidFill>
                <a:schemeClr val="accent2">
                  <a:lumMod val="50000"/>
                </a:schemeClr>
              </a:solidFill>
              <a:latin typeface="Calisto MT" panose="02040603050505030304" pitchFamily="18" charset="0"/>
            </a:endParaRPr>
          </a:p>
        </xdr:txBody>
      </xdr:sp>
      <xdr:sp macro="" textlink="">
        <xdr:nvSpPr>
          <xdr:cNvPr id="60" name="TextBox 59">
            <a:extLst>
              <a:ext uri="{FF2B5EF4-FFF2-40B4-BE49-F238E27FC236}">
                <a16:creationId xmlns:a16="http://schemas.microsoft.com/office/drawing/2014/main" id="{84F4E003-4FED-449F-A670-ECF3BFDE493C}"/>
              </a:ext>
            </a:extLst>
          </xdr:cNvPr>
          <xdr:cNvSpPr txBox="1"/>
        </xdr:nvSpPr>
        <xdr:spPr>
          <a:xfrm>
            <a:off x="9629774" y="5248275"/>
            <a:ext cx="24860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latin typeface="Calisto MT" panose="02040603050505030304" pitchFamily="18" charset="0"/>
              </a:rPr>
              <a:t>Attrition by</a:t>
            </a:r>
            <a:r>
              <a:rPr lang="en-IN" sz="1400" b="1" baseline="0">
                <a:solidFill>
                  <a:schemeClr val="accent2">
                    <a:lumMod val="50000"/>
                  </a:schemeClr>
                </a:solidFill>
                <a:latin typeface="Calisto MT" panose="02040603050505030304" pitchFamily="18" charset="0"/>
              </a:rPr>
              <a:t> Marital Status</a:t>
            </a:r>
            <a:endParaRPr lang="en-IN" sz="1400" b="1">
              <a:solidFill>
                <a:schemeClr val="accent2">
                  <a:lumMod val="50000"/>
                </a:schemeClr>
              </a:solidFill>
              <a:latin typeface="Calisto MT" panose="02040603050505030304" pitchFamily="18" charset="0"/>
            </a:endParaRPr>
          </a:p>
        </xdr:txBody>
      </xdr:sp>
      <mc:AlternateContent xmlns:mc="http://schemas.openxmlformats.org/markup-compatibility/2006">
        <mc:Choice xmlns:cx2="http://schemas.microsoft.com/office/drawing/2015/10/21/chartex" Requires="cx2">
          <xdr:graphicFrame macro="">
            <xdr:nvGraphicFramePr>
              <xdr:cNvPr id="61" name="Chart 60">
                <a:extLst>
                  <a:ext uri="{FF2B5EF4-FFF2-40B4-BE49-F238E27FC236}">
                    <a16:creationId xmlns:a16="http://schemas.microsoft.com/office/drawing/2014/main" id="{C472B78D-654E-4C47-B5F2-2907A3599B9A}"/>
                  </a:ext>
                </a:extLst>
              </xdr:cNvPr>
              <xdr:cNvGraphicFramePr/>
            </xdr:nvGraphicFramePr>
            <xdr:xfrm>
              <a:off x="9696450" y="5638800"/>
              <a:ext cx="2895600" cy="209169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9696450" y="5638800"/>
                <a:ext cx="2895600" cy="20916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xmlns:a14="http://schemas.microsoft.com/office/drawing/2010/main">
        <mc:Choice Requires="a14">
          <xdr:graphicFrame macro="">
            <xdr:nvGraphicFramePr>
              <xdr:cNvPr id="62" name="Education Field 2">
                <a:extLst>
                  <a:ext uri="{FF2B5EF4-FFF2-40B4-BE49-F238E27FC236}">
                    <a16:creationId xmlns:a16="http://schemas.microsoft.com/office/drawing/2014/main" id="{C83729E4-ACA5-41B6-A6EF-7D98D8AAE0BE}"/>
                  </a:ext>
                </a:extLst>
              </xdr:cNvPr>
              <xdr:cNvGraphicFramePr/>
            </xdr:nvGraphicFramePr>
            <xdr:xfrm>
              <a:off x="12868275" y="5695950"/>
              <a:ext cx="1809750" cy="2066925"/>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2868275" y="5743575"/>
                <a:ext cx="1809750" cy="206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3" name="Department 1">
                <a:extLst>
                  <a:ext uri="{FF2B5EF4-FFF2-40B4-BE49-F238E27FC236}">
                    <a16:creationId xmlns:a16="http://schemas.microsoft.com/office/drawing/2014/main" id="{7903FA37-9CE3-40A2-9762-9FCC48B0A8A7}"/>
                  </a:ext>
                </a:extLst>
              </xdr:cNvPr>
              <xdr:cNvGraphicFramePr/>
            </xdr:nvGraphicFramePr>
            <xdr:xfrm>
              <a:off x="14592300" y="5734050"/>
              <a:ext cx="1123951" cy="1285875"/>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592300" y="5781675"/>
                <a:ext cx="1123951"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4" name="TextBox 63">
            <a:extLst>
              <a:ext uri="{FF2B5EF4-FFF2-40B4-BE49-F238E27FC236}">
                <a16:creationId xmlns:a16="http://schemas.microsoft.com/office/drawing/2014/main" id="{B4DEC7D6-2DFD-8C4E-4B58-EF82902F2EB8}"/>
              </a:ext>
            </a:extLst>
          </xdr:cNvPr>
          <xdr:cNvSpPr txBox="1"/>
        </xdr:nvSpPr>
        <xdr:spPr>
          <a:xfrm>
            <a:off x="12934949" y="5591175"/>
            <a:ext cx="1247775"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u="none" strike="noStrike" kern="1200" baseline="0" dirty="0">
                <a:solidFill>
                  <a:srgbClr val="021A56"/>
                </a:solidFill>
                <a:latin typeface="Calisto MT" panose="02040603050505030304" pitchFamily="18" charset="0"/>
                <a:ea typeface="+mn-ea"/>
                <a:cs typeface="+mn-cs"/>
              </a:rPr>
              <a:t>Education</a:t>
            </a:r>
            <a:r>
              <a:rPr lang="en-IN" sz="1200" dirty="0"/>
              <a:t> </a:t>
            </a:r>
            <a:r>
              <a:rPr lang="en-IN" sz="1050" b="1" i="0" u="none" strike="noStrike" kern="1200" baseline="0" dirty="0">
                <a:solidFill>
                  <a:srgbClr val="021A56"/>
                </a:solidFill>
                <a:latin typeface="Calisto MT" panose="02040603050505030304" pitchFamily="18" charset="0"/>
                <a:ea typeface="+mn-ea"/>
                <a:cs typeface="+mn-cs"/>
              </a:rPr>
              <a:t>Field</a:t>
            </a:r>
          </a:p>
        </xdr:txBody>
      </xdr:sp>
      <xdr:sp macro="" textlink="">
        <xdr:nvSpPr>
          <xdr:cNvPr id="67" name="TextBox 66">
            <a:extLst>
              <a:ext uri="{FF2B5EF4-FFF2-40B4-BE49-F238E27FC236}">
                <a16:creationId xmlns:a16="http://schemas.microsoft.com/office/drawing/2014/main" id="{E6ACD5CA-DEE4-44B6-985E-F606A8864998}"/>
              </a:ext>
            </a:extLst>
          </xdr:cNvPr>
          <xdr:cNvSpPr txBox="1"/>
        </xdr:nvSpPr>
        <xdr:spPr>
          <a:xfrm>
            <a:off x="14554200" y="5581649"/>
            <a:ext cx="11049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u="none" strike="noStrike" kern="1200" baseline="0" dirty="0">
                <a:solidFill>
                  <a:srgbClr val="021A56"/>
                </a:solidFill>
                <a:latin typeface="Calisto MT" panose="02040603050505030304" pitchFamily="18" charset="0"/>
                <a:ea typeface="+mn-ea"/>
                <a:cs typeface="+mn-cs"/>
              </a:rPr>
              <a:t>Department</a:t>
            </a:r>
          </a:p>
        </xdr:txBody>
      </xdr:sp>
      <xdr:sp macro="" textlink="">
        <xdr:nvSpPr>
          <xdr:cNvPr id="69" name="TextBox 68">
            <a:extLst>
              <a:ext uri="{FF2B5EF4-FFF2-40B4-BE49-F238E27FC236}">
                <a16:creationId xmlns:a16="http://schemas.microsoft.com/office/drawing/2014/main" id="{B6172D87-D907-4070-A903-B36AF59C6FF2}"/>
              </a:ext>
            </a:extLst>
          </xdr:cNvPr>
          <xdr:cNvSpPr txBox="1"/>
        </xdr:nvSpPr>
        <xdr:spPr>
          <a:xfrm>
            <a:off x="12306300" y="5248275"/>
            <a:ext cx="24860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latin typeface="Calisto MT" panose="02040603050505030304" pitchFamily="18" charset="0"/>
              </a:rPr>
              <a:t>Filter</a:t>
            </a:r>
            <a:r>
              <a:rPr lang="en-IN" sz="1400" b="1" baseline="0">
                <a:solidFill>
                  <a:schemeClr val="accent2">
                    <a:lumMod val="50000"/>
                  </a:schemeClr>
                </a:solidFill>
                <a:latin typeface="Calisto MT" panose="02040603050505030304" pitchFamily="18" charset="0"/>
              </a:rPr>
              <a:t> Panel</a:t>
            </a:r>
            <a:endParaRPr lang="en-IN" sz="1400" b="1">
              <a:solidFill>
                <a:schemeClr val="accent2">
                  <a:lumMod val="50000"/>
                </a:schemeClr>
              </a:solidFill>
              <a:latin typeface="Calisto MT" panose="02040603050505030304" pitchFamily="18" charset="0"/>
            </a:endParaRPr>
          </a:p>
        </xdr:txBody>
      </xdr:sp>
    </xdr:grpSp>
    <xdr:clientData/>
  </xdr:twoCellAnchor>
</xdr:wsDr>
</file>

<file path=xl/drawings/drawing10.xml><?xml version="1.0" encoding="utf-8"?>
<c:userShapes xmlns:c="http://schemas.openxmlformats.org/drawingml/2006/chart">
  <cdr:relSizeAnchor xmlns:cdr="http://schemas.openxmlformats.org/drawingml/2006/chartDrawing">
    <cdr:from>
      <cdr:x>0.30769</cdr:x>
      <cdr:y>0.3629</cdr:y>
    </cdr:from>
    <cdr:to>
      <cdr:x>0.65385</cdr:x>
      <cdr:y>0.65447</cdr:y>
    </cdr:to>
    <cdr:sp macro="" textlink="Gender!$B$10">
      <cdr:nvSpPr>
        <cdr:cNvPr id="2" name="TextBox 36">
          <a:extLst xmlns:a="http://schemas.openxmlformats.org/drawingml/2006/main">
            <a:ext uri="{FF2B5EF4-FFF2-40B4-BE49-F238E27FC236}">
              <a16:creationId xmlns:a16="http://schemas.microsoft.com/office/drawing/2014/main" id="{848E11FE-2011-C018-A1F6-80A9DA7548B9}"/>
            </a:ext>
          </a:extLst>
        </cdr:cNvPr>
        <cdr:cNvSpPr txBox="1"/>
      </cdr:nvSpPr>
      <cdr:spPr>
        <a:xfrm xmlns:a="http://schemas.openxmlformats.org/drawingml/2006/main">
          <a:off x="457200" y="557214"/>
          <a:ext cx="514350" cy="44767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29D6E762-46E5-4E30-8FDE-4A32A8C101D2}" type="TxLink">
            <a:rPr lang="en-US" sz="1400" b="1" i="0" u="none" strike="noStrike">
              <a:solidFill>
                <a:srgbClr val="021A56"/>
              </a:solidFill>
              <a:latin typeface="Calisto MT" panose="02040603050505030304" pitchFamily="18" charset="0"/>
              <a:ea typeface="Calibri"/>
              <a:cs typeface="Calibri"/>
            </a:rPr>
            <a:pPr marL="0" indent="0" algn="ctr"/>
            <a:t>588</a:t>
          </a:fld>
          <a:endParaRPr lang="en-IN" sz="1400" b="1" i="0" u="none" strike="noStrike">
            <a:solidFill>
              <a:srgbClr val="021A56"/>
            </a:solidFill>
            <a:latin typeface="Calisto MT" panose="02040603050505030304" pitchFamily="18" charset="0"/>
            <a:ea typeface="Calibri"/>
            <a:cs typeface="Calibri"/>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0.31624</cdr:x>
      <cdr:y>0.35567</cdr:y>
    </cdr:from>
    <cdr:to>
      <cdr:x>0.66239</cdr:x>
      <cdr:y>0.64723</cdr:y>
    </cdr:to>
    <cdr:sp macro="" textlink="Gender!$B$11">
      <cdr:nvSpPr>
        <cdr:cNvPr id="2" name="TextBox 36">
          <a:extLst xmlns:a="http://schemas.openxmlformats.org/drawingml/2006/main">
            <a:ext uri="{FF2B5EF4-FFF2-40B4-BE49-F238E27FC236}">
              <a16:creationId xmlns:a16="http://schemas.microsoft.com/office/drawing/2014/main" id="{F0C2C52E-E573-9438-1C2B-A12262C9B2AB}"/>
            </a:ext>
          </a:extLst>
        </cdr:cNvPr>
        <cdr:cNvSpPr txBox="1"/>
      </cdr:nvSpPr>
      <cdr:spPr>
        <a:xfrm xmlns:a="http://schemas.openxmlformats.org/drawingml/2006/main">
          <a:off x="469900" y="546100"/>
          <a:ext cx="514350" cy="44767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2F1D8568-3FCA-4654-AE4F-BC570DF01EDD}" type="TxLink">
            <a:rPr lang="en-US" sz="1400" b="1" i="0" u="none" strike="noStrike">
              <a:solidFill>
                <a:srgbClr val="021A56"/>
              </a:solidFill>
              <a:latin typeface="Calisto MT" panose="02040603050505030304" pitchFamily="18" charset="0"/>
              <a:ea typeface="Calibri"/>
              <a:cs typeface="Calibri"/>
            </a:rPr>
            <a:pPr marL="0" indent="0" algn="ctr"/>
            <a:t>882</a:t>
          </a:fld>
          <a:endParaRPr lang="en-IN" sz="1400" b="1" i="0" u="none" strike="noStrike">
            <a:solidFill>
              <a:srgbClr val="021A56"/>
            </a:solidFill>
            <a:latin typeface="Calisto MT" panose="02040603050505030304" pitchFamily="18" charset="0"/>
            <a:ea typeface="Calibri"/>
            <a:cs typeface="Calibri"/>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s choudhary" refreshedDate="45979.460641087964" createdVersion="8" refreshedVersion="8" minRefreshableVersion="3" recordCount="1470" xr:uid="{9004CA00-5751-455E-AFCA-39D42771D3FB}">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873900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9E18B7-4FF9-4BE0-B8B7-01F7A8BA1868}"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C4F6E5-36D8-47FA-8A9C-173FD0C3166E}"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2A58F4-EDF9-4115-B0FE-482A70301588}"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B06152-2196-4152-9493-C80C415A943A}"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8E9498-7571-40A2-835A-A4A65CB95D02}" name="Attrition by 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50E6AB-BBB6-4FEE-BEAA-A61C89D136D8}"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8AA3C5-894F-4FCE-9E60-02D2B4481D2B}"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AB3C3A-9672-4DA0-BB69-3ECF1C8531A5}"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37E8F389-C5A6-4A18-A11C-138557DE3F5B}" sourceName="Education Field">
  <pivotTables>
    <pivotTable tabId="9" name="Gender"/>
    <pivotTable tabId="13" name="Attrition by Age Group"/>
    <pivotTable tabId="11" name="Attrition by Job"/>
    <pivotTable tabId="14" name="Attrition by Marital Status"/>
    <pivotTable tabId="10" name="Education by Attrition"/>
    <pivotTable tabId="7" name="KPI"/>
    <pivotTable tabId="8" name="Rating"/>
    <pivotTable tabId="12" name="Dept wise Attrition"/>
  </pivotTables>
  <data>
    <tabular pivotCacheId="1487390063">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B3A1B291-344B-42AE-8692-7971997D13F1}" sourceName="Gender">
  <pivotTables>
    <pivotTable tabId="9" name="Gender"/>
    <pivotTable tabId="13" name="Attrition by Age Group"/>
    <pivotTable tabId="11" name="Attrition by Job"/>
    <pivotTable tabId="14" name="Attrition by Marital Status"/>
    <pivotTable tabId="12" name="Dept wise Attrition"/>
    <pivotTable tabId="10" name="Education by Attrition"/>
    <pivotTable tabId="7" name="KPI"/>
    <pivotTable tabId="8" name="Rating"/>
  </pivotTables>
  <data>
    <tabular pivotCacheId="148739006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FB4C88E-0B61-49A2-BCBB-52336B7C4FD1}" sourceName="Department">
  <pivotTables>
    <pivotTable tabId="9" name="Gender"/>
    <pivotTable tabId="13" name="Attrition by Age Group"/>
    <pivotTable tabId="11" name="Attrition by Job"/>
    <pivotTable tabId="14" name="Attrition by Marital Status"/>
    <pivotTable tabId="12" name="Dept wise Attrition"/>
    <pivotTable tabId="10" name="Education by Attrition"/>
    <pivotTable tabId="7" name="KPI"/>
    <pivotTable tabId="8" name="Rating"/>
  </pivotTables>
  <data>
    <tabular pivotCacheId="148739006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764CBA2-32CB-4B0F-85A7-A7D16E1DF9FB}"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0BBCA6E6-A8C7-4642-9CCE-5569D1BA7317}" cache="Slicer_Education_Field1" caption="Education Field" rowHeight="260350"/>
  <slicer name="Gender 1" xr10:uid="{B7478101-7E4E-419E-AE62-7B62F76F5E48}" cache="Slicer_Gender2"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CF61F243-AEF3-4D55-84A4-AEBD2859906F}" cache="Slicer_Education_Field1" caption="Education Field" rowHeight="260350"/>
  <slicer name="Gender 2" xr10:uid="{9BA2C900-DC51-4D7B-8BED-78574A9B674E}" cache="Slicer_Gender2" caption="Gender" rowHeight="260350"/>
  <slicer name="Department" xr10:uid="{D8FA20F6-FB6A-47B5-A926-B66890F4C3C7}" cache="Slicer_Department" caption="Department"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0BE1E296-BA58-4382-848A-EFA46B9BAF5A}" cache="Slicer_Education_Field1" style="Slicer Style 1" rowHeight="260350"/>
  <slicer name="Gender 3" xr10:uid="{5B51A83E-163F-43A7-BB67-C6936BF28059}" cache="Slicer_Gender2" caption="Gender" columnCount="2" style="Slicer Style 1" rowHeight="260350"/>
  <slicer name="Department 1" xr10:uid="{5089811A-4956-494B-8755-D3C0E3E80EAC}" cache="Slicer_Department" style="Slicer Style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FE7BA-A3D5-4A8C-A735-85970DCE46E1}">
  <dimension ref="A3:E8"/>
  <sheetViews>
    <sheetView topLeftCell="A3" workbookViewId="0">
      <selection activeCell="D21" sqref="D21"/>
    </sheetView>
  </sheetViews>
  <sheetFormatPr defaultRowHeight="15.6" x14ac:dyDescent="0.3"/>
  <cols>
    <col min="1" max="1" width="24.5" bestFit="1" customWidth="1"/>
    <col min="2" max="2" width="22.796875" bestFit="1" customWidth="1"/>
    <col min="3" max="3" width="13.5" bestFit="1" customWidth="1"/>
    <col min="4" max="4" width="15.59765625" bestFit="1" customWidth="1"/>
    <col min="5" max="5" width="12.3984375" bestFit="1" customWidth="1"/>
  </cols>
  <sheetData>
    <row r="3" spans="1:5" x14ac:dyDescent="0.3">
      <c r="A3" t="s">
        <v>1554</v>
      </c>
      <c r="B3" t="s">
        <v>1555</v>
      </c>
      <c r="C3" t="s">
        <v>1556</v>
      </c>
    </row>
    <row r="4" spans="1:5" x14ac:dyDescent="0.3">
      <c r="A4">
        <v>1470</v>
      </c>
      <c r="B4">
        <v>237</v>
      </c>
      <c r="C4" s="2">
        <v>36.923809523809524</v>
      </c>
    </row>
    <row r="7" spans="1:5" x14ac:dyDescent="0.3">
      <c r="A7" s="3" t="s">
        <v>1557</v>
      </c>
      <c r="B7" s="3" t="s">
        <v>1558</v>
      </c>
      <c r="C7" s="3" t="s">
        <v>1559</v>
      </c>
      <c r="D7" s="3" t="s">
        <v>1560</v>
      </c>
      <c r="E7" s="3" t="s">
        <v>1561</v>
      </c>
    </row>
    <row r="8" spans="1:5" x14ac:dyDescent="0.3">
      <c r="A8">
        <f>GETPIVOTDATA("Count of Employee Number",$A$3)</f>
        <v>1470</v>
      </c>
      <c r="B8">
        <f>GETPIVOTDATA("Sum of CF_attrition count",$A$3)</f>
        <v>237</v>
      </c>
      <c r="C8" s="2">
        <f>GETPIVOTDATA("Average of Age",$A$3)</f>
        <v>36.923809523809524</v>
      </c>
      <c r="D8">
        <f>A8-B8</f>
        <v>1233</v>
      </c>
      <c r="E8" s="5">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6D52-E840-4B94-9C0D-74242EB678F8}">
  <dimension ref="A3:E13"/>
  <sheetViews>
    <sheetView workbookViewId="0">
      <selection activeCell="D4" sqref="D4:E12"/>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8" t="s">
        <v>1565</v>
      </c>
      <c r="B3" t="s">
        <v>1555</v>
      </c>
      <c r="D3" t="s">
        <v>9</v>
      </c>
      <c r="E3" t="s">
        <v>0</v>
      </c>
    </row>
    <row r="4" spans="1:5" x14ac:dyDescent="0.3">
      <c r="A4" s="9" t="s">
        <v>83</v>
      </c>
      <c r="B4">
        <v>9</v>
      </c>
      <c r="D4" t="str">
        <f>A4</f>
        <v>Healthcare Representative</v>
      </c>
      <c r="E4">
        <f>GETPIVOTDATA("CF_attrition count",$A$3,"Job Role",A4)</f>
        <v>9</v>
      </c>
    </row>
    <row r="5" spans="1:5" x14ac:dyDescent="0.3">
      <c r="A5" s="9" t="s">
        <v>163</v>
      </c>
      <c r="B5">
        <v>12</v>
      </c>
      <c r="D5" t="str">
        <f t="shared" ref="D5:D12" si="0">A5</f>
        <v>Human Resources</v>
      </c>
      <c r="E5">
        <f t="shared" ref="E5:E12" si="1">GETPIVOTDATA("CF_attrition count",$A$3,"Job Role",A5)</f>
        <v>12</v>
      </c>
    </row>
    <row r="6" spans="1:5" x14ac:dyDescent="0.3">
      <c r="A6" s="9" t="s">
        <v>68</v>
      </c>
      <c r="B6">
        <v>62</v>
      </c>
      <c r="D6" t="str">
        <f t="shared" si="0"/>
        <v>Laboratory Technician</v>
      </c>
      <c r="E6">
        <f t="shared" si="1"/>
        <v>62</v>
      </c>
    </row>
    <row r="7" spans="1:5" x14ac:dyDescent="0.3">
      <c r="A7" s="9" t="s">
        <v>95</v>
      </c>
      <c r="B7">
        <v>5</v>
      </c>
      <c r="D7" t="str">
        <f t="shared" si="0"/>
        <v>Manager</v>
      </c>
      <c r="E7">
        <f t="shared" si="1"/>
        <v>5</v>
      </c>
    </row>
    <row r="8" spans="1:5" x14ac:dyDescent="0.3">
      <c r="A8" s="9" t="s">
        <v>81</v>
      </c>
      <c r="B8">
        <v>10</v>
      </c>
      <c r="D8" t="str">
        <f t="shared" si="0"/>
        <v>Manufacturing Director</v>
      </c>
      <c r="E8">
        <f t="shared" si="1"/>
        <v>10</v>
      </c>
    </row>
    <row r="9" spans="1:5" x14ac:dyDescent="0.3">
      <c r="A9" s="9" t="s">
        <v>101</v>
      </c>
      <c r="B9">
        <v>2</v>
      </c>
      <c r="D9" t="str">
        <f t="shared" si="0"/>
        <v>Research Director</v>
      </c>
      <c r="E9">
        <f t="shared" si="1"/>
        <v>2</v>
      </c>
    </row>
    <row r="10" spans="1:5" x14ac:dyDescent="0.3">
      <c r="A10" s="9" t="s">
        <v>63</v>
      </c>
      <c r="B10">
        <v>47</v>
      </c>
      <c r="D10" t="str">
        <f t="shared" si="0"/>
        <v>Research Scientist</v>
      </c>
      <c r="E10">
        <f t="shared" si="1"/>
        <v>47</v>
      </c>
    </row>
    <row r="11" spans="1:5" x14ac:dyDescent="0.3">
      <c r="A11" s="9" t="s">
        <v>52</v>
      </c>
      <c r="B11">
        <v>57</v>
      </c>
      <c r="D11" t="str">
        <f t="shared" si="0"/>
        <v>Sales Executive</v>
      </c>
      <c r="E11">
        <f t="shared" si="1"/>
        <v>57</v>
      </c>
    </row>
    <row r="12" spans="1:5" x14ac:dyDescent="0.3">
      <c r="A12" s="9" t="s">
        <v>99</v>
      </c>
      <c r="B12">
        <v>33</v>
      </c>
      <c r="D12" t="str">
        <f t="shared" si="0"/>
        <v>Sales Representative</v>
      </c>
      <c r="E12">
        <f t="shared" si="1"/>
        <v>33</v>
      </c>
    </row>
    <row r="13" spans="1:5" x14ac:dyDescent="0.3">
      <c r="A13" s="9" t="s">
        <v>1566</v>
      </c>
      <c r="B13">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EEEAF-D389-40E3-8214-D50A7A017703}">
  <dimension ref="A3:B7"/>
  <sheetViews>
    <sheetView workbookViewId="0">
      <selection activeCell="B22" sqref="B22"/>
    </sheetView>
  </sheetViews>
  <sheetFormatPr defaultRowHeight="15.6" x14ac:dyDescent="0.3"/>
  <cols>
    <col min="1" max="1" width="12.296875" bestFit="1" customWidth="1"/>
    <col min="2" max="2" width="22.796875" bestFit="1" customWidth="1"/>
  </cols>
  <sheetData>
    <row r="3" spans="1:2" x14ac:dyDescent="0.3">
      <c r="A3" s="8" t="s">
        <v>1565</v>
      </c>
      <c r="B3" t="s">
        <v>1555</v>
      </c>
    </row>
    <row r="4" spans="1:2" x14ac:dyDescent="0.3">
      <c r="A4" s="9" t="s">
        <v>161</v>
      </c>
      <c r="B4" s="10">
        <v>5.0632911392405063E-2</v>
      </c>
    </row>
    <row r="5" spans="1:2" x14ac:dyDescent="0.3">
      <c r="A5" s="9" t="s">
        <v>60</v>
      </c>
      <c r="B5" s="10">
        <v>0.56118143459915615</v>
      </c>
    </row>
    <row r="6" spans="1:2" x14ac:dyDescent="0.3">
      <c r="A6" s="9" t="s">
        <v>48</v>
      </c>
      <c r="B6" s="10">
        <v>0.3881856540084388</v>
      </c>
    </row>
    <row r="7" spans="1:2" x14ac:dyDescent="0.3">
      <c r="A7" s="9" t="s">
        <v>1566</v>
      </c>
      <c r="B7" s="1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350B5-462E-4774-A6F9-F631B85609C6}">
  <dimension ref="A3:B9"/>
  <sheetViews>
    <sheetView workbookViewId="0">
      <selection activeCell="B5" sqref="B5"/>
    </sheetView>
  </sheetViews>
  <sheetFormatPr defaultRowHeight="15.6" x14ac:dyDescent="0.3"/>
  <cols>
    <col min="1" max="1" width="12.296875" bestFit="1" customWidth="1"/>
    <col min="2" max="2" width="22.796875" bestFit="1" customWidth="1"/>
  </cols>
  <sheetData>
    <row r="3" spans="1:2" x14ac:dyDescent="0.3">
      <c r="A3" s="8" t="s">
        <v>1565</v>
      </c>
      <c r="B3" t="s">
        <v>1555</v>
      </c>
    </row>
    <row r="4" spans="1:2" x14ac:dyDescent="0.3">
      <c r="A4" s="9" t="s">
        <v>69</v>
      </c>
      <c r="B4">
        <v>112</v>
      </c>
    </row>
    <row r="5" spans="1:2" x14ac:dyDescent="0.3">
      <c r="A5" s="9" t="s">
        <v>46</v>
      </c>
      <c r="B5">
        <v>51</v>
      </c>
    </row>
    <row r="6" spans="1:2" x14ac:dyDescent="0.3">
      <c r="A6" s="9" t="s">
        <v>92</v>
      </c>
      <c r="B6">
        <v>38</v>
      </c>
    </row>
    <row r="7" spans="1:2" x14ac:dyDescent="0.3">
      <c r="A7" s="9" t="s">
        <v>58</v>
      </c>
      <c r="B7">
        <v>25</v>
      </c>
    </row>
    <row r="8" spans="1:2" x14ac:dyDescent="0.3">
      <c r="A8" s="9" t="s">
        <v>75</v>
      </c>
      <c r="B8">
        <v>11</v>
      </c>
    </row>
    <row r="9" spans="1:2" x14ac:dyDescent="0.3">
      <c r="A9" s="9" t="s">
        <v>1566</v>
      </c>
      <c r="B9">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92C1B-D985-41F7-9A67-2F3F50B91CE7}">
  <dimension ref="A3:E7"/>
  <sheetViews>
    <sheetView workbookViewId="0">
      <selection activeCell="B5" sqref="B5"/>
    </sheetView>
  </sheetViews>
  <sheetFormatPr defaultRowHeight="15.6" x14ac:dyDescent="0.3"/>
  <cols>
    <col min="1" max="1" width="12.296875" bestFit="1" customWidth="1"/>
    <col min="2" max="2" width="16" bestFit="1" customWidth="1"/>
    <col min="4" max="4" width="12.69921875" bestFit="1" customWidth="1"/>
  </cols>
  <sheetData>
    <row r="3" spans="1:5" x14ac:dyDescent="0.3">
      <c r="A3" s="8" t="s">
        <v>1565</v>
      </c>
      <c r="B3" t="s">
        <v>1568</v>
      </c>
      <c r="D3" t="s">
        <v>10</v>
      </c>
      <c r="E3" t="s">
        <v>0</v>
      </c>
    </row>
    <row r="4" spans="1:5" x14ac:dyDescent="0.3">
      <c r="A4" s="9" t="s">
        <v>79</v>
      </c>
      <c r="B4">
        <v>327</v>
      </c>
      <c r="D4" t="str">
        <f>A4</f>
        <v>Divorced</v>
      </c>
      <c r="E4">
        <f>GETPIVOTDATA("Attrition",$A$3,"Marital Status",A4)</f>
        <v>327</v>
      </c>
    </row>
    <row r="5" spans="1:5" x14ac:dyDescent="0.3">
      <c r="A5" s="9" t="s">
        <v>53</v>
      </c>
      <c r="B5">
        <v>470</v>
      </c>
      <c r="D5" t="str">
        <f t="shared" ref="D5:D6" si="0">A5</f>
        <v>Single</v>
      </c>
      <c r="E5">
        <f t="shared" ref="E5:E6" si="1">GETPIVOTDATA("Attrition",$A$3,"Marital Status",A5)</f>
        <v>470</v>
      </c>
    </row>
    <row r="6" spans="1:5" x14ac:dyDescent="0.3">
      <c r="A6" s="9" t="s">
        <v>64</v>
      </c>
      <c r="B6">
        <v>673</v>
      </c>
      <c r="D6" t="str">
        <f t="shared" si="0"/>
        <v>Married</v>
      </c>
      <c r="E6">
        <f t="shared" si="1"/>
        <v>673</v>
      </c>
    </row>
    <row r="7" spans="1:5" x14ac:dyDescent="0.3">
      <c r="A7" s="9" t="s">
        <v>1566</v>
      </c>
      <c r="B7">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A2" sqref="A2"/>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34A65-3ABD-4A38-B438-3A27461633FD}">
  <dimension ref="A3:C7"/>
  <sheetViews>
    <sheetView workbookViewId="0">
      <selection activeCell="D12" sqref="D12"/>
    </sheetView>
  </sheetViews>
  <sheetFormatPr defaultRowHeight="15.6" x14ac:dyDescent="0.3"/>
  <cols>
    <col min="1" max="1" width="23.69921875" bestFit="1" customWidth="1"/>
  </cols>
  <sheetData>
    <row r="3" spans="1:3" x14ac:dyDescent="0.3">
      <c r="A3" t="s">
        <v>1562</v>
      </c>
    </row>
    <row r="4" spans="1:3" x14ac:dyDescent="0.3">
      <c r="A4" s="6">
        <v>2.6265306122448981</v>
      </c>
    </row>
    <row r="6" spans="1:3" x14ac:dyDescent="0.3">
      <c r="A6" t="s">
        <v>1563</v>
      </c>
      <c r="B6" s="6">
        <f>GETPIVOTDATA("Job Satisfaction",$A$3)</f>
        <v>2.6265306122448981</v>
      </c>
      <c r="C6">
        <f>B6/4</f>
        <v>0.65663265306122454</v>
      </c>
    </row>
    <row r="7" spans="1:3" x14ac:dyDescent="0.3">
      <c r="A7" t="s">
        <v>1564</v>
      </c>
      <c r="B7" s="6">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850B-D3D4-4C8C-A1C3-B01A634CC3FF}">
  <dimension ref="A3:C11"/>
  <sheetViews>
    <sheetView workbookViewId="0">
      <selection activeCell="G21" sqref="G21"/>
    </sheetView>
  </sheetViews>
  <sheetFormatPr defaultRowHeight="15.6" x14ac:dyDescent="0.3"/>
  <cols>
    <col min="1" max="1" width="12.296875" bestFit="1" customWidth="1"/>
    <col min="2" max="2" width="22.796875" bestFit="1" customWidth="1"/>
  </cols>
  <sheetData>
    <row r="3" spans="1:3" x14ac:dyDescent="0.3">
      <c r="A3" s="8" t="s">
        <v>1565</v>
      </c>
      <c r="B3" t="s">
        <v>1567</v>
      </c>
    </row>
    <row r="4" spans="1:3" x14ac:dyDescent="0.3">
      <c r="A4" s="9" t="s">
        <v>51</v>
      </c>
      <c r="B4">
        <v>588</v>
      </c>
    </row>
    <row r="5" spans="1:3" x14ac:dyDescent="0.3">
      <c r="A5" s="9" t="s">
        <v>62</v>
      </c>
      <c r="B5">
        <v>882</v>
      </c>
    </row>
    <row r="6" spans="1:3" x14ac:dyDescent="0.3">
      <c r="A6" s="9" t="s">
        <v>1566</v>
      </c>
      <c r="B6">
        <v>1470</v>
      </c>
    </row>
    <row r="10" spans="1:3" x14ac:dyDescent="0.3">
      <c r="A10" t="s">
        <v>51</v>
      </c>
      <c r="B10">
        <f>IFERROR(GETPIVOTDATA("Employee Count",$A$3,"Gender","Female"),0)</f>
        <v>588</v>
      </c>
      <c r="C10" s="4">
        <f>IFERROR(B10/($B$10+$B$11),0)</f>
        <v>0.4</v>
      </c>
    </row>
    <row r="11" spans="1:3" x14ac:dyDescent="0.3">
      <c r="A11" t="s">
        <v>62</v>
      </c>
      <c r="B11">
        <f>IFERROR(GETPIVOTDATA("Employee Count",$A$3,"Gender","Male"),0)</f>
        <v>882</v>
      </c>
      <c r="C11" s="4">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0A6A6-B028-4835-9525-1E56AE2E16ED}">
  <dimension ref="A3:B9"/>
  <sheetViews>
    <sheetView workbookViewId="0">
      <selection activeCell="J22" sqref="J22"/>
    </sheetView>
  </sheetViews>
  <sheetFormatPr defaultRowHeight="15.6" x14ac:dyDescent="0.3"/>
  <cols>
    <col min="1" max="1" width="16" bestFit="1" customWidth="1"/>
    <col min="2" max="2" width="22.796875" bestFit="1" customWidth="1"/>
  </cols>
  <sheetData>
    <row r="3" spans="1:2" x14ac:dyDescent="0.3">
      <c r="A3" s="8" t="s">
        <v>1565</v>
      </c>
      <c r="B3" t="s">
        <v>1555</v>
      </c>
    </row>
    <row r="4" spans="1:2" x14ac:dyDescent="0.3">
      <c r="A4" s="9" t="s">
        <v>134</v>
      </c>
      <c r="B4">
        <v>5</v>
      </c>
    </row>
    <row r="5" spans="1:2" x14ac:dyDescent="0.3">
      <c r="A5" s="9" t="s">
        <v>65</v>
      </c>
      <c r="B5">
        <v>31</v>
      </c>
    </row>
    <row r="6" spans="1:2" x14ac:dyDescent="0.3">
      <c r="A6" s="9" t="s">
        <v>55</v>
      </c>
      <c r="B6">
        <v>44</v>
      </c>
    </row>
    <row r="7" spans="1:2" x14ac:dyDescent="0.3">
      <c r="A7" s="9" t="s">
        <v>71</v>
      </c>
      <c r="B7">
        <v>58</v>
      </c>
    </row>
    <row r="8" spans="1:2" x14ac:dyDescent="0.3">
      <c r="A8" s="9" t="s">
        <v>77</v>
      </c>
      <c r="B8">
        <v>99</v>
      </c>
    </row>
    <row r="9" spans="1:2" x14ac:dyDescent="0.3">
      <c r="A9" s="9" t="s">
        <v>1566</v>
      </c>
      <c r="B9">
        <v>237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tabSelected="1" zoomScale="80" zoomScaleNormal="80" workbookViewId="0">
      <selection activeCell="Y41" sqref="Y41"/>
    </sheetView>
  </sheetViews>
  <sheetFormatPr defaultColWidth="11.19921875" defaultRowHeight="15" customHeight="1" x14ac:dyDescent="0.3"/>
  <cols>
    <col min="1" max="26" width="8.59765625" style="7" customWidth="1"/>
    <col min="27" max="16384" width="11.19921875" style="7"/>
  </cols>
  <sheetData>
    <row r="1" s="7" customFormat="1" x14ac:dyDescent="0.3"/>
    <row r="2" s="7" customFormat="1" x14ac:dyDescent="0.3"/>
    <row r="3" s="7" customFormat="1" x14ac:dyDescent="0.3"/>
    <row r="4" s="7" customFormat="1" x14ac:dyDescent="0.3"/>
    <row r="5" s="7" customFormat="1" x14ac:dyDescent="0.3"/>
    <row r="6" s="7" customFormat="1" x14ac:dyDescent="0.3"/>
    <row r="7" s="7" customFormat="1" x14ac:dyDescent="0.3"/>
    <row r="8" s="7" customFormat="1" x14ac:dyDescent="0.3"/>
    <row r="9" s="7" customFormat="1" x14ac:dyDescent="0.3"/>
    <row r="10" s="7" customFormat="1" x14ac:dyDescent="0.3"/>
    <row r="11" s="7" customFormat="1" x14ac:dyDescent="0.3"/>
    <row r="12" s="7" customFormat="1" x14ac:dyDescent="0.3"/>
    <row r="13" s="7" customFormat="1" x14ac:dyDescent="0.3"/>
    <row r="14" s="7" customFormat="1" x14ac:dyDescent="0.3"/>
    <row r="15" s="7" customFormat="1" x14ac:dyDescent="0.3"/>
    <row r="16" s="7" customFormat="1" x14ac:dyDescent="0.3"/>
    <row r="17" s="7" customFormat="1" x14ac:dyDescent="0.3"/>
    <row r="18" s="7" customFormat="1" x14ac:dyDescent="0.3"/>
    <row r="19" s="7" customFormat="1" x14ac:dyDescent="0.3"/>
    <row r="20" s="7" customFormat="1" x14ac:dyDescent="0.3"/>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Attrition by Job</vt:lpstr>
      <vt:lpstr>Dept wise Attrition</vt:lpstr>
      <vt:lpstr>Attrition by Age Group</vt:lpstr>
      <vt:lpstr>Attrition by Marital Status</vt:lpstr>
      <vt:lpstr>Data</vt:lpstr>
      <vt:lpstr>Rating</vt:lpstr>
      <vt:lpstr>Gender</vt:lpstr>
      <vt:lpstr>Education by Attrition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Paras choudhary</cp:lastModifiedBy>
  <dcterms:created xsi:type="dcterms:W3CDTF">2022-12-29T16:02:46Z</dcterms:created>
  <dcterms:modified xsi:type="dcterms:W3CDTF">2025-11-18T16:59:11Z</dcterms:modified>
</cp:coreProperties>
</file>